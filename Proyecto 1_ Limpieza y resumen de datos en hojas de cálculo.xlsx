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Analisis" sheetId="3" r:id="rId6"/>
    <sheet state="visible" name="Visualizaciones" sheetId="4" r:id="rId7"/>
    <sheet state="visible" name="Informe_Ejecutivo" sheetId="5" r:id="rId8"/>
  </sheets>
  <definedNames>
    <definedName hidden="1" localSheetId="1" name="_xlnm._FilterDatabase">Datos_Limpios!$G$1:$G$1001</definedName>
  </definedNames>
  <calcPr/>
  <extLst>
    <ext uri="GoogleSheetsCustomDataVersion2">
      <go:sheetsCustomData xmlns:go="http://customooxmlschemas.google.com/" r:id="rId9" roundtripDataChecksum="PP+rLXHXM99NFxbmZWcqfovfj3aqAg0S0PLVCe3FEVE="/>
    </ext>
  </extLst>
</workbook>
</file>

<file path=xl/sharedStrings.xml><?xml version="1.0" encoding="utf-8"?>
<sst xmlns="http://schemas.openxmlformats.org/spreadsheetml/2006/main" count="8862" uniqueCount="3160">
  <si>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</si>
  <si>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</si>
  <si>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</si>
  <si>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</si>
  <si>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</si>
  <si>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</si>
  <si>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</si>
  <si>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</si>
  <si>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</si>
  <si>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</si>
  <si>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</si>
  <si>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Garc√≠a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</si>
  <si>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</si>
  <si>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</si>
  <si>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</si>
  <si>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</si>
  <si>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</si>
  <si>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</si>
  <si>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</si>
  <si>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 xml:space="preserve">Monterrey  </t>
  </si>
  <si>
    <t>Sandra B√°ez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</si>
  <si>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</si>
  <si>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</si>
  <si>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</si>
  <si>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</si>
  <si>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</si>
  <si>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</si>
  <si>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Jer√≥nimo Far√≠as</t>
  </si>
  <si>
    <t>yterrazas@hotmail.com</t>
  </si>
  <si>
    <t>4cfd7c38-6607-4b36-ab60-fb259d4e18b4</t>
  </si>
  <si>
    <t>Ciudad de M√xico</t>
  </si>
  <si>
    <t>Teléfono-Gama alta-32GB</t>
  </si>
  <si>
    <t>Esteban Ure√±a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</si>
  <si>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</si>
  <si>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</si>
  <si>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</si>
  <si>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</si>
  <si>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</si>
  <si>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</si>
  <si>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</si>
  <si>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</si>
  <si>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S√°nchez</t>
  </si>
  <si>
    <t>rocioescalante@hotmail.com</t>
  </si>
  <si>
    <t>a895a20b-523d-4f9e-a3e5-039259362c4f</t>
  </si>
  <si>
    <t>Daniela Padr√≥n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</si>
  <si>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</si>
  <si>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</si>
  <si>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</si>
  <si>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</si>
  <si>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</si>
  <si>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</si>
  <si>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Rinc√≥n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</si>
  <si>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</si>
  <si>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</si>
  <si>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</si>
  <si>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</si>
  <si>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</si>
  <si>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</si>
  <si>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</si>
  <si>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</si>
  <si>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</si>
  <si>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</si>
  <si>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</si>
  <si>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</si>
  <si>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Alc√°ntar</t>
  </si>
  <si>
    <t>luisamata@barajas-de.org</t>
  </si>
  <si>
    <t>a9fee7b5-3729-4db8-815f-355ff6236823</t>
  </si>
  <si>
    <t>Tablet-Estándar-4GB</t>
  </si>
  <si>
    <t>Fernando M√°rquez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</si>
  <si>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</si>
  <si>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</si>
  <si>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</si>
  <si>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</si>
  <si>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</si>
  <si>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</si>
  <si>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</si>
  <si>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</si>
  <si>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Mar√≠a Jos√© Noriega</t>
  </si>
  <si>
    <t>victor38@industrias.com</t>
  </si>
  <si>
    <t>55a4140a-ad3c-4b67-9d33-7eb275fe9440</t>
  </si>
  <si>
    <t>BOGOTá</t>
  </si>
  <si>
    <t>Laptop-Oficina-16GB</t>
  </si>
  <si>
    <t>Mtro. C√©sar Verduzco</t>
  </si>
  <si>
    <t>maria-elena87@proyectos.biz</t>
  </si>
  <si>
    <t>af1640cb-8d21-4be4-a497-cf19ebe3fa3e</t>
  </si>
  <si>
    <t>Teléfono-Gama media-32GB</t>
  </si>
  <si>
    <t>Ernesto Rend√≥n</t>
  </si>
  <si>
    <t>nadame@hotmail.com</t>
  </si>
  <si>
    <t>7c7c5e94-04af-466b-bbd2-9ba60b16b6cc</t>
  </si>
  <si>
    <t>Tulum</t>
  </si>
  <si>
    <t>Laptop-Gaming-32GB</t>
  </si>
  <si>
    <t>Julio C√©sar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</si>
  <si>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</si>
  <si>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</si>
  <si>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</si>
  <si>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</si>
  <si>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</si>
  <si>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</si>
  <si>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</si>
  <si>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</si>
  <si>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</si>
  <si>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N√°jera Miramontes</t>
  </si>
  <si>
    <t>umadrigal@despacho.biz</t>
  </si>
  <si>
    <t>38daf333-0f89-435f-9b2d-a6d639ff33df</t>
  </si>
  <si>
    <t>Benjam√≠n Marcela Lucero</t>
  </si>
  <si>
    <t>cresporaquel@yahoo.com</t>
  </si>
  <si>
    <t>cc9f2851-c332-405f-a3fb-1abae821a706</t>
  </si>
  <si>
    <t>Eloy Godoy del R√≠o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</si>
  <si>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</si>
  <si>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</si>
  <si>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</si>
  <si>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</si>
  <si>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</si>
  <si>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</si>
  <si>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</si>
  <si>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</si>
  <si>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</si>
  <si>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</si>
  <si>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Brise√±o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</si>
  <si>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</si>
  <si>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</si>
  <si>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</si>
  <si>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</si>
  <si>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</si>
  <si>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</si>
  <si>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</si>
  <si>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</si>
  <si>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</si>
  <si>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</si>
  <si>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</si>
  <si>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</si>
  <si>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</si>
  <si>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</si>
  <si>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</si>
  <si>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</si>
  <si>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</si>
  <si>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T√©llez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</si>
  <si>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</si>
  <si>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</si>
  <si>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</si>
  <si>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</si>
  <si>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</si>
  <si>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</si>
  <si>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Arag√≥n</t>
  </si>
  <si>
    <t>del-riojuan@velasco.com</t>
  </si>
  <si>
    <t>afc92f17-61fe-4e4e-84c2-09515ccc8e07</t>
  </si>
  <si>
    <t xml:space="preserve">Teléfono-Gama alta-16GB </t>
  </si>
  <si>
    <t>Lorenzo Wendolin M√©ndez Gollum</t>
  </si>
  <si>
    <t>ffuentes@ochoa-molina.com</t>
  </si>
  <si>
    <t>116022d7-56fc-4596-aeba-30c58ab21dbf</t>
  </si>
  <si>
    <t>Seraf√≠n Samuel Tamayo B√°ez</t>
  </si>
  <si>
    <t>bruno78@vega.org</t>
  </si>
  <si>
    <t>c196a64f-ac47-4c79-b416-d0807432cfa3</t>
  </si>
  <si>
    <t>Laptop-Gaming-8GB</t>
  </si>
  <si>
    <t>Irene Dom√≠nguez</t>
  </si>
  <si>
    <t>estherpedroza@rojas-moya.info</t>
  </si>
  <si>
    <t>2ad918fa-d68e-42ea-926c-414454fd8220</t>
  </si>
  <si>
    <t>Mar√≠a Cristina Valdivia Mondrag√≥n</t>
  </si>
  <si>
    <t>porfirio68@corporacin.biz</t>
  </si>
  <si>
    <t>9fc06fba-9376-4e96-97f1-0aeca2f00a87</t>
  </si>
  <si>
    <t>Diego Fern√°ndez</t>
  </si>
  <si>
    <t>sessa76@casarez.com</t>
  </si>
  <si>
    <t>d1068262-a372-42f4-b5e9-48fa9a84b933</t>
  </si>
  <si>
    <t>Laptop-Oficina-32GB</t>
  </si>
  <si>
    <t>Dolores Jes√∫s Qui√±√≥nez Lebr√≥n</t>
  </si>
  <si>
    <t>nicolas17@gmail.com</t>
  </si>
  <si>
    <t>5c299656-4419-4c69-bdd2-2dc9b8af337b</t>
  </si>
  <si>
    <t>Auriculares-Bluetooth-32GB</t>
  </si>
  <si>
    <t>Karina Jer√≥nimo P√©rez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</si>
  <si>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</si>
  <si>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</si>
  <si>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</si>
  <si>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</si>
  <si>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</si>
  <si>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</si>
  <si>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</si>
  <si>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</si>
  <si>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</si>
  <si>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Asunci√≥n Samaniego</t>
  </si>
  <si>
    <t>arellanoalfredo@gmail.com</t>
  </si>
  <si>
    <t>4e9e641c-a0d6-4903-8f6e-f87d90c24aa0</t>
  </si>
  <si>
    <t xml:space="preserve">   Cali</t>
  </si>
  <si>
    <t>Tablet-Mini-4GB</t>
  </si>
  <si>
    <t>Marcela P√°ez</t>
  </si>
  <si>
    <t>gabrieljaime@club.com</t>
  </si>
  <si>
    <t>e98e23f8-e415-4062-bdbb-4e90ecd252c4</t>
  </si>
  <si>
    <t>Auriculares-Cancelaci√≥n de ruido-16GB</t>
  </si>
  <si>
    <t>Alta  Gracia Alicia Guzm√°n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</si>
  <si>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</si>
  <si>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</si>
  <si>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</si>
  <si>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</si>
  <si>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</si>
  <si>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</si>
  <si>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</si>
  <si>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</si>
  <si>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</si>
  <si>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Rafa√©l N√°jera</t>
  </si>
  <si>
    <t>fernando51@yahoo.com</t>
  </si>
  <si>
    <t>7594ffab-c88c-40b4-b851-6897e6230fb0</t>
  </si>
  <si>
    <t>Clemente Lucas de la Cr√∫z Fl√≥rez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</si>
  <si>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</si>
  <si>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</si>
  <si>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</si>
  <si>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</si>
  <si>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</si>
  <si>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Est√©vez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</si>
  <si>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</si>
  <si>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</si>
  <si>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</si>
  <si>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</si>
  <si>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</si>
  <si>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Ba√±uelos</t>
  </si>
  <si>
    <t>gdel-rio@proyectos.biz</t>
  </si>
  <si>
    <t>4a70ae74-59ef-4f8f-98ee-d8fff858e22d</t>
  </si>
  <si>
    <t>Ang√©lica Bueno Olvera</t>
  </si>
  <si>
    <t>bernabe37@despacho.com</t>
  </si>
  <si>
    <t>9ffc235a-1e2b-44c3-80ec-61b7a7d4cbc5</t>
  </si>
  <si>
    <t>Teléfono-Gama media-4GB</t>
  </si>
  <si>
    <t>Roberto Cas√°rez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</si>
  <si>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</si>
  <si>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</si>
  <si>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</si>
  <si>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</si>
  <si>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</si>
  <si>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</si>
  <si>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</si>
  <si>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</si>
  <si>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</si>
  <si>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</si>
  <si>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</si>
  <si>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</si>
  <si>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</si>
  <si>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</si>
  <si>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</si>
  <si>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</si>
  <si>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</si>
  <si>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</si>
  <si>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</si>
  <si>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</si>
  <si>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Hern√°n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</si>
  <si>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</si>
  <si>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</si>
  <si>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</si>
  <si>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</si>
  <si>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</si>
  <si>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</si>
  <si>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</si>
  <si>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</si>
  <si>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T√©llez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</si>
  <si>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</si>
  <si>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</si>
  <si>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</si>
  <si>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</si>
  <si>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</si>
  <si>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</si>
  <si>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</si>
  <si>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</si>
  <si>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</si>
  <si>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</si>
  <si>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Ver√≥nica Wendolin Ter√°n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</si>
  <si>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</si>
  <si>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</si>
  <si>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</si>
  <si>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</si>
  <si>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</si>
  <si>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C√©sar Collazo</t>
  </si>
  <si>
    <t>angel71@rincon-perea.com</t>
  </si>
  <si>
    <t>be245970-0c63-4d78-ae9d-e25f66cad9cf</t>
  </si>
  <si>
    <t>Mariana Jer√≥nimo Partida Tejeda</t>
  </si>
  <si>
    <t>cristobal02@frias-mojica.biz</t>
  </si>
  <si>
    <t>50843e6d-c79e-434b-87b9-c3050b4bcc8f</t>
  </si>
  <si>
    <t>Teléfono-Gama baja-32GB</t>
  </si>
  <si>
    <t>Alma Galv√°n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</si>
  <si>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</si>
  <si>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</si>
  <si>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</si>
  <si>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</si>
  <si>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</si>
  <si>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Sep√∫lveda</t>
  </si>
  <si>
    <t>uferrer@gmail.com</t>
  </si>
  <si>
    <t>44eb6606-bfe9-426e-8e4f-c7683d27a64a</t>
  </si>
  <si>
    <t>Tablet-Pro-16GB</t>
  </si>
  <si>
    <t>Fernando Almanza Dur√°n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</si>
  <si>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</si>
  <si>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</si>
  <si>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</si>
  <si>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</si>
  <si>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</si>
  <si>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</si>
  <si>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</si>
  <si>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</si>
  <si>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</si>
  <si>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Jos√© Manu√©l Indira Ledesma Trevi√±o</t>
  </si>
  <si>
    <t>raquelyanez@hotmail.com</t>
  </si>
  <si>
    <t>b17b1651-8264-42dd-ac16-7674416db2f4</t>
  </si>
  <si>
    <t>Vanesa Jos√©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</si>
  <si>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</si>
  <si>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</si>
  <si>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</si>
  <si>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</si>
  <si>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</si>
  <si>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Andr√©s G√≥mez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</si>
  <si>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</si>
  <si>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</si>
  <si>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</si>
  <si>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</si>
  <si>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</si>
  <si>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Roc√≠o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</si>
  <si>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</si>
  <si>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</si>
  <si>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</si>
  <si>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</si>
  <si>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</si>
  <si>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</si>
  <si>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</si>
  <si>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</si>
  <si>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</si>
  <si>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</si>
  <si>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</si>
  <si>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</si>
  <si>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</si>
  <si>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</si>
  <si>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</si>
  <si>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</si>
  <si>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</si>
  <si>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</si>
  <si>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</si>
  <si>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</si>
  <si>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</si>
  <si>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</si>
  <si>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</si>
  <si>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</si>
  <si>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</si>
  <si>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</si>
  <si>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V√≠ctor Jaramillo</t>
  </si>
  <si>
    <t>vallejogustavo@despacho.net</t>
  </si>
  <si>
    <t>cb4fece9-bf8f-4e7d-8218-b9d826729e46</t>
  </si>
  <si>
    <t>Asunci√≥n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</si>
  <si>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</si>
  <si>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</si>
  <si>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</si>
  <si>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</si>
  <si>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</si>
  <si>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</si>
  <si>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</si>
  <si>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</si>
  <si>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</si>
  <si>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</si>
  <si>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</si>
  <si>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</si>
  <si>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</si>
  <si>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</si>
  <si>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</si>
  <si>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Ang√©lica Bravo</t>
  </si>
  <si>
    <t>correaestefania@yahoo.com</t>
  </si>
  <si>
    <t>76fde716-641c-4ff4-848c-ade7a38970de</t>
  </si>
  <si>
    <t>Lourdes Godoy Ni√±o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</si>
  <si>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</si>
  <si>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</si>
  <si>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</si>
  <si>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</si>
  <si>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</si>
  <si>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Jos√© Luis Manzanares Trujillo</t>
  </si>
  <si>
    <t>garenas@verduzco.org</t>
  </si>
  <si>
    <t>969772b7-82a9-4281-b808-f08dbacfaa54</t>
  </si>
  <si>
    <t>Abel Leticia Calder√≥n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</si>
  <si>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</si>
  <si>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</si>
  <si>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</si>
  <si>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</si>
  <si>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</si>
  <si>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</si>
  <si>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</si>
  <si>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</si>
  <si>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</si>
  <si>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</si>
  <si>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</si>
  <si>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</si>
  <si>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</si>
  <si>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</si>
  <si>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</si>
  <si>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</si>
  <si>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Jes√∫s Vallejo Bravo</t>
  </si>
  <si>
    <t>uescalante@gmail.com</t>
  </si>
  <si>
    <t>3a57b856-992a-4aa3-a497-f62acef32235</t>
  </si>
  <si>
    <t>Ren√© Rafa√©l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</si>
  <si>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</si>
  <si>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</si>
  <si>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</si>
  <si>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</si>
  <si>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</si>
  <si>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</si>
  <si>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Jos√© Luis Alarc√≥n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</si>
  <si>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</si>
  <si>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</si>
  <si>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</si>
  <si>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</si>
  <si>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</si>
  <si>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</si>
  <si>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</si>
  <si>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</si>
  <si>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</si>
  <si>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</si>
  <si>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</si>
  <si>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</si>
  <si>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</si>
  <si>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</si>
  <si>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</si>
  <si>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Estefan√≠a Modesto Lebr√≥n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</si>
  <si>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</si>
  <si>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</si>
  <si>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</si>
  <si>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</si>
  <si>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</si>
  <si>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</si>
  <si>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</si>
  <si>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</si>
  <si>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√Åvalos Cant√∫</t>
  </si>
  <si>
    <t>hborrego@hotmail.com</t>
  </si>
  <si>
    <t>46208692-578c-41c7-a7ca-6da2fc87ff43</t>
  </si>
  <si>
    <t>Ver√≥nica Jurado Gonzales</t>
  </si>
  <si>
    <t>ivenegas@club.com</t>
  </si>
  <si>
    <t>c959873c-5ee3-4647-bd0b-df86bd37e523</t>
  </si>
  <si>
    <t>Dr. Estefan√≠a Pi√±a</t>
  </si>
  <si>
    <t>colladomercedes@yahoo.com</t>
  </si>
  <si>
    <t>a735a980-0215-4741-924f-a6525c85f916</t>
  </si>
  <si>
    <t>Alfredo Cintr√≥n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</si>
  <si>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</si>
  <si>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</si>
  <si>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</si>
  <si>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</si>
  <si>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</si>
  <si>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</si>
  <si>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</si>
  <si>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</si>
  <si>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</si>
  <si>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T√©llez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</si>
  <si>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</si>
  <si>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</si>
  <si>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</si>
  <si>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</si>
  <si>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</si>
  <si>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</si>
  <si>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</si>
  <si>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</si>
  <si>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Fl√≥rez</t>
  </si>
  <si>
    <t>franciscaarredondo@club.com</t>
  </si>
  <si>
    <t>e17b8e31-1444-4e73-8d2e-98e479a23fab</t>
  </si>
  <si>
    <t>Alejandro Hermelinda Mondrag√≥n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</si>
  <si>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</si>
  <si>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</si>
  <si>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</si>
  <si>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</si>
  <si>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</si>
  <si>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Mac√≠as</t>
  </si>
  <si>
    <t>zmelgar@corporacin.com</t>
  </si>
  <si>
    <t>d9c044d0-2d9f-4974-b4ef-0cbae299e695</t>
  </si>
  <si>
    <t>Sr(a). Manuel T√≥rrez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</si>
  <si>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</si>
  <si>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</si>
  <si>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</si>
  <si>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</si>
  <si>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</si>
  <si>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</si>
  <si>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</si>
  <si>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</si>
  <si>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Mondrag√≥n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</si>
  <si>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</si>
  <si>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</si>
  <si>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</si>
  <si>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</si>
  <si>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</si>
  <si>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 xml:space="preserve">CIUDAD DE M√XICO </t>
  </si>
  <si>
    <t>Esperanza Victoria Rend√≥n</t>
  </si>
  <si>
    <t>ortaasuncion@laboratorios.org</t>
  </si>
  <si>
    <t>b3ac9ad7-3336-45ee-8e9c-45dd90295e61</t>
  </si>
  <si>
    <t>Agust√≠n Esparza</t>
  </si>
  <si>
    <t>octavio81@granados.biz</t>
  </si>
  <si>
    <t>a8f00c77-f3a2-4ae2-a236-7df93148023d</t>
  </si>
  <si>
    <t>Guillermina Ba√±uelos Varela</t>
  </si>
  <si>
    <t>lucasirizarry@corporacin.com</t>
  </si>
  <si>
    <t>b87357bf-0adf-494c-9fb2-d5fb5810088e</t>
  </si>
  <si>
    <t>Alejandro Tom√°s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</si>
  <si>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</si>
  <si>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</si>
  <si>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</si>
  <si>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</si>
  <si>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</si>
  <si>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</si>
  <si>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</si>
  <si>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</si>
  <si>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T√≥rrez Segovia</t>
  </si>
  <si>
    <t>xsaenz@hotmail.com</t>
  </si>
  <si>
    <t>0281b754-3298-47cb-85b3-b7e7a8c57bab</t>
  </si>
  <si>
    <t>Bruno Samuel Acosta Rasc√≥n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</si>
  <si>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</si>
  <si>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</si>
  <si>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</si>
  <si>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</si>
  <si>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</si>
  <si>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Mondrag√≥n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</si>
  <si>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</si>
  <si>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</si>
  <si>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</si>
  <si>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</si>
  <si>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</si>
  <si>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</si>
  <si>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H√©ctor Brito Solorzano</t>
  </si>
  <si>
    <t>eugenia47@de.com</t>
  </si>
  <si>
    <t>ac86de05-18a9-4269-876c-d1c20900fd8f</t>
  </si>
  <si>
    <t>Julia Gonzalo Armend√°riz</t>
  </si>
  <si>
    <t>jose-manuelcazares@franco.org</t>
  </si>
  <si>
    <t>ce229233-81ec-4127-be94-95ce93175cd4</t>
  </si>
  <si>
    <t>Indira Eric Renter√≠a Vel√°zquez</t>
  </si>
  <si>
    <t>fduran@arredondo.com</t>
  </si>
  <si>
    <t>56137b69-5c0a-49a2-bc0e-cd99b52af4b9</t>
  </si>
  <si>
    <t>C√©sar Burgos Fl√≥rez</t>
  </si>
  <si>
    <t>isaac34@aviles.biz</t>
  </si>
  <si>
    <t>15c161e7-84e8-482a-963e-a7e6326abc14</t>
  </si>
  <si>
    <t>Juan L√≥pez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</si>
  <si>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</si>
  <si>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</si>
  <si>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</si>
  <si>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</si>
  <si>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</si>
  <si>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Rol√≥n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</si>
  <si>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</si>
  <si>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</si>
  <si>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</si>
  <si>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</si>
  <si>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</si>
  <si>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Cant√∫ Segura</t>
  </si>
  <si>
    <t>mercedes40@lozano-borrego.org</t>
  </si>
  <si>
    <t>51322ec3-e52c-417f-9f2c-20ffb25bf684</t>
  </si>
  <si>
    <t>Mtro. Flavio Ter√°n</t>
  </si>
  <si>
    <t>merinovicente@hotmail.com</t>
  </si>
  <si>
    <t>59db14ef-c72f-4719-807c-e681756eb5ee</t>
  </si>
  <si>
    <t>Andr√©s Brito</t>
  </si>
  <si>
    <t>concepcion07@hotmail.com</t>
  </si>
  <si>
    <t>a05c93ff-9a7b-4d33-9591-f2fbfbc01017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</si>
  <si>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</si>
  <si>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</si>
  <si>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</si>
  <si>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</si>
  <si>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</si>
  <si>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</si>
  <si>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C√©sar Fabiola Palacios</t>
  </si>
  <si>
    <t>jose-emiliogamboa@laboratorios.biz</t>
  </si>
  <si>
    <t>0e28ad98-fe18-44a9-9a89-466a166843e3</t>
  </si>
  <si>
    <t>Patricio Narv√°ez Holgu√≠n</t>
  </si>
  <si>
    <t>tiradoberta@yahoo.com</t>
  </si>
  <si>
    <t>467ff27d-c3d7-4928-bade-34474e2a754a</t>
  </si>
  <si>
    <t>Israel Barrag√°n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</si>
  <si>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</si>
  <si>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</si>
  <si>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</si>
  <si>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</si>
  <si>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</si>
  <si>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Valent√≠n Alarc√≥n</t>
  </si>
  <si>
    <t>mendezmonica@chacon.com</t>
  </si>
  <si>
    <t>6e634080-3cde-4f41-b8b8-f7a29d0086fa</t>
  </si>
  <si>
    <t>Emiliano Liliana Olivares Ba√±uelos</t>
  </si>
  <si>
    <t>eugenio20@yahoo.com</t>
  </si>
  <si>
    <t>5118c46e-3697-423d-b0f6-bcb15c09e38d</t>
  </si>
  <si>
    <t>Marcos Adriana Orosco B√©tancourt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</si>
  <si>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</si>
  <si>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</si>
  <si>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</si>
  <si>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</si>
  <si>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</si>
  <si>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</si>
  <si>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</si>
  <si>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</si>
  <si>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</si>
  <si>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Holgu√≠n Galarza</t>
  </si>
  <si>
    <t>aurelio09@fuentes.com</t>
  </si>
  <si>
    <t>2f004d71-2bd5-4fdb-a629-c4409dbaf7b8</t>
  </si>
  <si>
    <t>Gonzalo Cort√©s Nieto</t>
  </si>
  <si>
    <t>cabanmauricio@partida-barrios.net</t>
  </si>
  <si>
    <t>f175c4e2-a107-42a1-87d8-ae02bbeada76</t>
  </si>
  <si>
    <t>Tania Jos√©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</si>
  <si>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</si>
  <si>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</si>
  <si>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</si>
  <si>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</si>
  <si>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</si>
  <si>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</si>
  <si>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</si>
  <si>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</si>
  <si>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√örsula Guardado</t>
  </si>
  <si>
    <t>pradooctavio@yahoo.com</t>
  </si>
  <si>
    <t>36046905-c325-4177-8dd6-ef3a3eefbe09</t>
  </si>
  <si>
    <t>Esperanza Dom√≠nguez</t>
  </si>
  <si>
    <t>eveliz@verdugo-covarrubias.com</t>
  </si>
  <si>
    <t>159a0e2b-f468-4295-9e69-b0d9dd79d890</t>
  </si>
  <si>
    <t>Sr(a). Carlota T√≥rrez</t>
  </si>
  <si>
    <t>camilapuente@hotmail.com</t>
  </si>
  <si>
    <t>32958c32-9158-41e9-a53a-1fc911df997a</t>
  </si>
  <si>
    <t>Lilia B√©tancourt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</si>
  <si>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</si>
  <si>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</si>
  <si>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</si>
  <si>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</si>
  <si>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</si>
  <si>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Mar√≠a Cristina Rebeca Qui√±ones D√°vila</t>
  </si>
  <si>
    <t>teresa90@yahoo.com</t>
  </si>
  <si>
    <t>a2820ce9-6172-4e14-acb4-dbc156430397</t>
  </si>
  <si>
    <t>Dalia Mar√≠a Cristina Robledo Escobar</t>
  </si>
  <si>
    <t>galvancamilo@santana-farias.com</t>
  </si>
  <si>
    <t>41cf07f1-c8b8-4719-8e87-4c6a66e4a90e</t>
  </si>
  <si>
    <t>Karina G√°lvez Dur√°n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</si>
  <si>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</si>
  <si>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</si>
  <si>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</si>
  <si>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</si>
  <si>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</si>
  <si>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Agust√≠n Sandoval</t>
  </si>
  <si>
    <t>cornelio15@grupo.com</t>
  </si>
  <si>
    <t>1a1b2b13-06f4-45bf-a9e9-678df211aedf</t>
  </si>
  <si>
    <t>Germ√°n Corral</t>
  </si>
  <si>
    <t>eloy50@despacho.com</t>
  </si>
  <si>
    <t>87c5ffd3-6c28-4101-af3b-154ff4ae6392</t>
  </si>
  <si>
    <t>Germ√°n Le√≥n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</si>
  <si>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</si>
  <si>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</si>
  <si>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</si>
  <si>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</si>
  <si>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</si>
  <si>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Cerv√°ntez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</si>
  <si>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</si>
  <si>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</si>
  <si>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</si>
  <si>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</si>
  <si>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</si>
  <si>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</si>
  <si>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</si>
  <si>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</si>
  <si>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God√≠nez</t>
  </si>
  <si>
    <t>yolandamontalvo@gmail.com</t>
  </si>
  <si>
    <t>1dada63c-2f5a-48d7-8e04-d26aacd30687</t>
  </si>
  <si>
    <t xml:space="preserve">Teléfono-Gama baja-32GB </t>
  </si>
  <si>
    <t>Ver√≥nica de Le√≥n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</si>
  <si>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</si>
  <si>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</si>
  <si>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</si>
  <si>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</si>
  <si>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</si>
  <si>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</si>
  <si>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</si>
  <si>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</si>
  <si>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</si>
  <si>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</si>
  <si>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</si>
  <si>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M√≥nica Res√©ndez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</si>
  <si>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</si>
  <si>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</si>
  <si>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</si>
  <si>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</si>
  <si>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</si>
  <si>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Jos√© Mar√≠a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</si>
  <si>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</si>
  <si>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</si>
  <si>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</si>
  <si>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</si>
  <si>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</si>
  <si>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</si>
  <si>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</si>
  <si>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</si>
  <si>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</si>
  <si>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Noem√≠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</si>
  <si>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</si>
  <si>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</si>
  <si>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</si>
  <si>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</si>
  <si>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</si>
  <si>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Fr√≠as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</si>
  <si>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</si>
  <si>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</si>
  <si>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</si>
  <si>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</si>
  <si>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</si>
  <si>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</si>
  <si>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</si>
  <si>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</si>
  <si>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</si>
  <si>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</si>
  <si>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</si>
  <si>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Jon√°s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</si>
  <si>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</si>
  <si>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</si>
  <si>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</si>
  <si>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</si>
  <si>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</si>
  <si>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</si>
  <si>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</si>
  <si>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</si>
  <si>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</si>
  <si>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</si>
  <si>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</si>
  <si>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Jos√© Carlos Soledad Osorio Rodr√≠gez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</si>
  <si>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</si>
  <si>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</si>
  <si>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</si>
  <si>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</si>
  <si>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</si>
  <si>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Garc√≠a</t>
  </si>
  <si>
    <t>eesquibel@campos.info</t>
  </si>
  <si>
    <t>de92a9b2-739f-4ffe-aeb7-97d14d474602</t>
  </si>
  <si>
    <t>Manuel Iv√°n Alarc√≥n Noriega</t>
  </si>
  <si>
    <t>claudia30@hotmail.com</t>
  </si>
  <si>
    <t>d513a436-d4fe-4ff3-8ec9-e92a32ed8cc7</t>
  </si>
  <si>
    <t>Agust√≠n Rocha</t>
  </si>
  <si>
    <t>vparra@gmail.com</t>
  </si>
  <si>
    <t>bd82514d-6aed-4ca8-885d-60312b6b736b</t>
  </si>
  <si>
    <t>Luz Eduardo Villegas Le√≥n</t>
  </si>
  <si>
    <t>wmontoya@yahoo.com</t>
  </si>
  <si>
    <t>9e5f6867-749d-4b5b-97ef-2330c2558d3d</t>
  </si>
  <si>
    <t>Lorenzo Zaragoza Ni√±o</t>
  </si>
  <si>
    <t>yeni63@gmail.com</t>
  </si>
  <si>
    <t>afbe8b22-f099-435c-a4a9-2882252b6103</t>
  </si>
  <si>
    <t>Magdalena del R√≠o Covarrubias</t>
  </si>
  <si>
    <t>xramirez@laboratorios.com</t>
  </si>
  <si>
    <t>df30a4f3-dbd9-408b-aef6-130263821f4b</t>
  </si>
  <si>
    <t>Nadia Ana Mar√≠a Merino Arteaga</t>
  </si>
  <si>
    <t>arico@almaraz-ontiveros.com</t>
  </si>
  <si>
    <t>446489c3-d916-48e8-af47-535cb42956ac</t>
  </si>
  <si>
    <t>Ing. Marcela Guzm√°n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</si>
  <si>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</si>
  <si>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</si>
  <si>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</si>
  <si>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</si>
  <si>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</si>
  <si>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</si>
  <si>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</si>
  <si>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</si>
  <si>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</si>
  <si>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</si>
  <si>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</si>
  <si>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</si>
  <si>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</si>
  <si>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</si>
  <si>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</si>
  <si>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</si>
  <si>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</si>
  <si>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</si>
  <si>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</si>
  <si>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</si>
  <si>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</si>
  <si>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</si>
  <si>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</si>
  <si>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</si>
  <si>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</si>
  <si>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</si>
  <si>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Mar√≠a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</si>
  <si>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</si>
  <si>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</si>
  <si>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</si>
  <si>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</si>
  <si>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</si>
  <si>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</si>
  <si>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</si>
  <si>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</si>
  <si>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</si>
  <si>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</si>
  <si>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</si>
  <si>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Ni√±o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</si>
  <si>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</si>
  <si>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</si>
  <si>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</si>
  <si>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</si>
  <si>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</si>
  <si>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Concepci√≥n Isabel Becerra del Valle</t>
  </si>
  <si>
    <t>rubencanales@hotmail.com</t>
  </si>
  <si>
    <t>a98bfa4e-dd81-401d-b806-a98b5c514056</t>
  </si>
  <si>
    <t>Zo√© Claudia Barraza Cornejo</t>
  </si>
  <si>
    <t>elvirasepulveda@corporacin.com</t>
  </si>
  <si>
    <t>3341556d-8dc1-42f2-b455-3a339ff909cd</t>
  </si>
  <si>
    <t>Ing. Hern√°n Vallejo</t>
  </si>
  <si>
    <t>sernaemilia@yahoo.com</t>
  </si>
  <si>
    <t>f0291dc4-c15b-4bcc-97f0-04c50c8926f6</t>
  </si>
  <si>
    <t>Mar√≠a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</si>
  <si>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</si>
  <si>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</si>
  <si>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</si>
  <si>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</si>
  <si>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</si>
  <si>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Rafa√©l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</si>
  <si>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</si>
  <si>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</si>
  <si>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</si>
  <si>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</si>
  <si>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</si>
  <si>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</si>
  <si>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</si>
  <si>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</si>
  <si>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√Ångel Aldo Tello Noriega</t>
  </si>
  <si>
    <t>rivascristian@grupo.com</t>
  </si>
  <si>
    <t>60961cdf-09a7-4a32-8c6c-2d05f517439d</t>
  </si>
  <si>
    <t xml:space="preserve">Cali.  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</si>
  <si>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</si>
  <si>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</si>
  <si>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</si>
  <si>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</si>
  <si>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</si>
  <si>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</si>
  <si>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</si>
  <si>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</si>
  <si>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</si>
  <si>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</si>
  <si>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</si>
  <si>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</si>
  <si>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</si>
  <si>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</si>
  <si>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</si>
  <si>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Guti√©rrez</t>
  </si>
  <si>
    <t>jtovar@trujillo-orellana.com</t>
  </si>
  <si>
    <t>0ada26be-f753-405b-a1a4-3599df81e700</t>
  </si>
  <si>
    <t>Jer√≥nimo Julia Peralta</t>
  </si>
  <si>
    <t>mireleshector@vigil.com</t>
  </si>
  <si>
    <t>c499769d-908e-43f6-bd30-c1817bd0deff</t>
  </si>
  <si>
    <t>Sr(a). Vicente Ure√±a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</si>
  <si>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</si>
  <si>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</si>
  <si>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</si>
  <si>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</si>
  <si>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</si>
  <si>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</si>
  <si>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</si>
  <si>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</si>
  <si>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</si>
  <si>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</si>
  <si>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</si>
  <si>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</si>
  <si>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</si>
  <si>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</si>
  <si>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</si>
  <si>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</si>
  <si>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</si>
  <si>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</si>
  <si>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Hern√°n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</si>
  <si>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</si>
  <si>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</si>
  <si>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</si>
  <si>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</si>
  <si>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</si>
  <si>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</si>
  <si>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</si>
  <si>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</si>
  <si>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</si>
  <si>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</si>
  <si>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</si>
  <si>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</si>
  <si>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</si>
  <si>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</si>
  <si>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Dar√≠o Rivas</t>
  </si>
  <si>
    <t>ynavarro@gmail.com</t>
  </si>
  <si>
    <t>357c27a8-d03f-45e6-be30-3565ec6d4ff5</t>
  </si>
  <si>
    <t>Nelly Hern√°n R√≠os Guardado</t>
  </si>
  <si>
    <t>francisco-javiersalcedo@hotmail.com</t>
  </si>
  <si>
    <t>c6f0a1e2-99c5-4a17-b0d8-ad6d416c81cc</t>
  </si>
  <si>
    <t>Gerardo M√≥nica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</si>
  <si>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</si>
  <si>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</si>
  <si>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</si>
  <si>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</si>
  <si>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</si>
  <si>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Gast√©lum</t>
  </si>
  <si>
    <t>patricia75@corporacin.com</t>
  </si>
  <si>
    <t>b7d845eb-4a64-4099-a793-3f93363ea49e</t>
  </si>
  <si>
    <t>Ren√© Luna Pineda</t>
  </si>
  <si>
    <t>hocampo@corporacin.net</t>
  </si>
  <si>
    <t>75b08c4a-c440-4f59-a757-c070085c6101</t>
  </si>
  <si>
    <t>Jaime G√≥mez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</si>
  <si>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</si>
  <si>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</si>
  <si>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</si>
  <si>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</si>
  <si>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</si>
  <si>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Ram√≥n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</si>
  <si>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</si>
  <si>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</si>
  <si>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</si>
  <si>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</si>
  <si>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</si>
  <si>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</si>
  <si>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</si>
  <si>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</si>
  <si>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</si>
  <si>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</si>
  <si>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</si>
  <si>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</si>
  <si>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</si>
  <si>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</si>
  <si>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Gir√≥n Monta√±ez</t>
  </si>
  <si>
    <t>saucedaconcepcion@hotmail.com</t>
  </si>
  <si>
    <t>d59afe7f-49e3-483a-97f5-ce81f54d250f</t>
  </si>
  <si>
    <t>Karla Berr√≠os</t>
  </si>
  <si>
    <t>tmontoya@gmail.com</t>
  </si>
  <si>
    <t>34e4f422-3bd5-496a-af08-11ecf5856460</t>
  </si>
  <si>
    <t>√ìliver Ulloa</t>
  </si>
  <si>
    <t>anel88@lugo.com</t>
  </si>
  <si>
    <t>0d9c3f44-a748-478b-8652-36bac0fde7f7</t>
  </si>
  <si>
    <t>Mar√≠a Jos√© Zeferino Avil√©s Zarate</t>
  </si>
  <si>
    <t>pelayojaqueline@hotmail.com</t>
  </si>
  <si>
    <t>404fea2a-d896-4427-a0d6-e0581df99ba3</t>
  </si>
  <si>
    <t>Sr(a). √Ångela Navarro</t>
  </si>
  <si>
    <t>olivertejada@hotmail.com</t>
  </si>
  <si>
    <t>bfb5f658-102d-4d01-bec2-1f4cced1bbef</t>
  </si>
  <si>
    <t>Sergio Hugo Benav√≠dez Garc√≠a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</si>
  <si>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</si>
  <si>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</si>
  <si>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</si>
  <si>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</si>
  <si>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</si>
  <si>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</si>
  <si>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</si>
  <si>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</si>
  <si>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M√≥nica Cortez</t>
  </si>
  <si>
    <t>benito43@corporacin.com</t>
  </si>
  <si>
    <t>814e531c-1781-4af9-86e2-0da4494565c9</t>
  </si>
  <si>
    <t>Abel V√©liz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</si>
  <si>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</si>
  <si>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</si>
  <si>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</si>
  <si>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</si>
  <si>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</si>
  <si>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</si>
  <si>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</si>
  <si>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</si>
  <si>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</si>
  <si>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</si>
  <si>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</si>
  <si>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Roc√≠o Jos√©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</si>
  <si>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</si>
  <si>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</si>
  <si>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</si>
  <si>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</si>
  <si>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</si>
  <si>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</si>
  <si>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</si>
  <si>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</si>
  <si>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</si>
  <si>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</si>
  <si>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</si>
  <si>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</si>
  <si>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</si>
  <si>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</si>
  <si>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</si>
  <si>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</si>
  <si>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</si>
  <si>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</si>
  <si>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</si>
  <si>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</si>
  <si>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</si>
  <si>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</si>
  <si>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</si>
  <si>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Est√©vez</t>
  </si>
  <si>
    <t>ballesterosevelio@yahoo.com</t>
  </si>
  <si>
    <t>d06b5f3f-acab-4f8e-bf1a-8c1dfe18228e</t>
  </si>
  <si>
    <t>Ing. Mitzy Ord√≥√±ez</t>
  </si>
  <si>
    <t>urielojeda@fierro-cordero.com</t>
  </si>
  <si>
    <t>d0cc2a3f-64b1-4463-bad8-280dbaa0e01e</t>
  </si>
  <si>
    <t>Alfonso Ger√≥nimo Tovar Merino</t>
  </si>
  <si>
    <t>xnino@yahoo.com</t>
  </si>
  <si>
    <t>0a194163-91a5-4990-a439-13d2a04cdd0d</t>
  </si>
  <si>
    <t>Jer√≥nimo Jos√© Manu√©l Maga√±a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</si>
  <si>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</si>
  <si>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</si>
  <si>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</si>
  <si>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</si>
  <si>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</si>
  <si>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Ure√±a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</si>
  <si>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</si>
  <si>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</si>
  <si>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</si>
  <si>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</si>
  <si>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</si>
  <si>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</si>
  <si>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</si>
  <si>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</si>
  <si>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</si>
  <si>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</si>
  <si>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</si>
  <si>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T√©llez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</si>
  <si>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</si>
  <si>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</si>
  <si>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</si>
  <si>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</si>
  <si>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</si>
  <si>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</si>
  <si>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</si>
  <si>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</si>
  <si>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Enr√≠quez Hinojosa</t>
  </si>
  <si>
    <t>ehernandez@nieto.com</t>
  </si>
  <si>
    <t>3f4e6744-9808-4bca-91b6-ef2b005468ab</t>
  </si>
  <si>
    <t>Claudio Ana Aguirre Ur√≠as</t>
  </si>
  <si>
    <t>celia37@guardado.com</t>
  </si>
  <si>
    <t>594ee58d-dd9f-43f8-bbcc-5f4716f3b8bf</t>
  </si>
  <si>
    <t xml:space="preserve">Bogotá. </t>
  </si>
  <si>
    <t>Ad√°n Perla Orosco</t>
  </si>
  <si>
    <t>estebanespinal@hotmail.com</t>
  </si>
  <si>
    <t>61cc0a01-493f-48a6-8973-8cc3bf69bd4b</t>
  </si>
  <si>
    <t>Ing. Fernando Calder√≥n</t>
  </si>
  <si>
    <t>cristinaarguello@del.info</t>
  </si>
  <si>
    <t>0877fac4-86db-45ad-94c8-6b0e1624953f</t>
  </si>
  <si>
    <t>Sr(a). Carla Nev√°rez</t>
  </si>
  <si>
    <t>gregoriocervantes@hotmail.com</t>
  </si>
  <si>
    <t>4e35c600-2a16-4f28-9de5-5ac2151674a5</t>
  </si>
  <si>
    <t>Eduardo Benav√≠dez Leal</t>
  </si>
  <si>
    <t>mariana08@jurado.org</t>
  </si>
  <si>
    <t>710a2493-760b-4c29-8181-ee456d867a10</t>
  </si>
  <si>
    <t>Elena Guardado Enr√≠quez</t>
  </si>
  <si>
    <t>carolina73@gmail.com</t>
  </si>
  <si>
    <t>a406d85a-6020-4738-b3ed-53d680678126</t>
  </si>
  <si>
    <t>Julia N√°jera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</si>
  <si>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</si>
  <si>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</si>
  <si>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</si>
  <si>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</si>
  <si>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</si>
  <si>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Jos√© Manu√©l Barrios</t>
  </si>
  <si>
    <t>pserrano@gmail.com</t>
  </si>
  <si>
    <t>b34e56ee-bab9-42ce-a5f4-4476f3368f27</t>
  </si>
  <si>
    <t>Mtro. Perla Mel√©ndez</t>
  </si>
  <si>
    <t>renedominguez@osorio.com</t>
  </si>
  <si>
    <t>98d1bc59-ba9c-4923-b9cd-06d3c57ffe57</t>
  </si>
  <si>
    <t>Santiago Fr√≠as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</si>
  <si>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</si>
  <si>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</si>
  <si>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</si>
  <si>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</si>
  <si>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</si>
  <si>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Luc√≠a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</si>
  <si>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</si>
  <si>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</si>
  <si>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</si>
  <si>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</si>
  <si>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</si>
  <si>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</si>
  <si>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</si>
  <si>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</si>
  <si>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</si>
  <si>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</si>
  <si>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</si>
  <si>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</si>
  <si>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</si>
  <si>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</si>
  <si>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Gast√©lum</t>
  </si>
  <si>
    <t>lorena10@gmail.com</t>
  </si>
  <si>
    <t>ad71df5b-e541-4c69-a100-86824806dfcc</t>
  </si>
  <si>
    <t>Amanda B√°ez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</si>
  <si>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</si>
  <si>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</si>
  <si>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</si>
  <si>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</si>
  <si>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</si>
  <si>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</si>
  <si>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</si>
  <si>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</si>
  <si>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√örsula Cristian Ledesma Lara</t>
  </si>
  <si>
    <t>aholguin@industrias.com</t>
  </si>
  <si>
    <t>db925419-778f-4d29-963a-7f15f6e37629</t>
  </si>
  <si>
    <t>Lic. Berta Cort√©s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</si>
  <si>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</si>
  <si>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</si>
  <si>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</si>
  <si>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</si>
  <si>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</si>
  <si>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</si>
  <si>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</si>
  <si>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</si>
  <si>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Jes√∫s Jim√≠nez</t>
  </si>
  <si>
    <t>wadame@yahoo.com</t>
  </si>
  <si>
    <t>437715f5-b663-4ceb-8e4d-01760b5c39e8</t>
  </si>
  <si>
    <t>Ing. Abraham Gir√≥n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</si>
  <si>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</si>
  <si>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</si>
  <si>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</si>
  <si>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</si>
  <si>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</si>
  <si>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</si>
  <si>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</si>
  <si>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</si>
  <si>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</si>
  <si>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</si>
  <si>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</si>
  <si>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</si>
  <si>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Cr√∫z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</si>
  <si>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</si>
  <si>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</si>
  <si>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</si>
  <si>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</si>
  <si>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</si>
  <si>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</si>
  <si>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</si>
  <si>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</si>
  <si>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</si>
  <si>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</si>
  <si>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</si>
  <si>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</si>
  <si>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</si>
  <si>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</si>
  <si>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</si>
  <si>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Ram√≥n Miramontes</t>
  </si>
  <si>
    <t>prietojorge@hotmail.com</t>
  </si>
  <si>
    <t>33b5cb0d-ba44-4160-8e1f-1175cb33b310</t>
  </si>
  <si>
    <t>Mar√≠a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</si>
  <si>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</si>
  <si>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</si>
  <si>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</si>
  <si>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</si>
  <si>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</si>
  <si>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√ìliver Julio C√©sar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</si>
  <si>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</si>
  <si>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</si>
  <si>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</si>
  <si>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</si>
  <si>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</si>
  <si>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Ba√±uelos</t>
  </si>
  <si>
    <t>hernadezalvaro@gmail.com</t>
  </si>
  <si>
    <t>2b9e4412-7cfc-4c93-b65b-fdd1b959ea0f</t>
  </si>
  <si>
    <t>Federico Mat√≠as</t>
  </si>
  <si>
    <t>florencia21@grupo.com</t>
  </si>
  <si>
    <t>f3f6eded-9605-463d-befb-0ec09cb7398f</t>
  </si>
  <si>
    <t>Elena Delgado Men√©ndez</t>
  </si>
  <si>
    <t>cristianbrito@gmail.com</t>
  </si>
  <si>
    <t>8ad2a9d2-c3c0-4b9e-8d31-bc798c2a566c</t>
  </si>
  <si>
    <t>Rub√©n Cecilia Zarate</t>
  </si>
  <si>
    <t>vcarreon@industrias.net</t>
  </si>
  <si>
    <t>9376962f-fb7b-4390-9eee-6e8d5c685697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</si>
  <si>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</si>
  <si>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</si>
  <si>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</si>
  <si>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</si>
  <si>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</si>
  <si>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</si>
  <si>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</si>
  <si>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</si>
  <si>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</si>
  <si>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√Ångela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</si>
  <si>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</si>
  <si>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</si>
  <si>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</si>
  <si>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</si>
  <si>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</si>
  <si>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</si>
  <si>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</si>
  <si>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</si>
  <si>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</si>
  <si>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</si>
  <si>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</si>
  <si>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</si>
  <si>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</si>
  <si>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</si>
  <si>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R√≠os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</si>
  <si>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</si>
  <si>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</si>
  <si>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</si>
  <si>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</si>
  <si>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</si>
  <si>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Zacar√≠as Padr√≥n</t>
  </si>
  <si>
    <t>rsosa@laboratorios.com</t>
  </si>
  <si>
    <t>4d35d453-5b30-4e58-a33c-a870dde7a68f</t>
  </si>
  <si>
    <t>Germ√°n Bustos</t>
  </si>
  <si>
    <t>luis-miguelsantacruz@yahoo.com</t>
  </si>
  <si>
    <t>ee1c498f-9419-41b5-aad7-950f328bcf29</t>
  </si>
  <si>
    <t>Dar√≠o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</si>
  <si>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</si>
  <si>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</si>
  <si>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</si>
  <si>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</si>
  <si>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</si>
  <si>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Jos√© Aparicio</t>
  </si>
  <si>
    <t>olivia24@yahoo.com</t>
  </si>
  <si>
    <t>4185aaab-33a2-4e6e-bebe-5b6cf12100d2</t>
  </si>
  <si>
    <t>C√©sar Jim√≠nez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</si>
  <si>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</si>
  <si>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</si>
  <si>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</si>
  <si>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</si>
  <si>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</si>
  <si>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</si>
  <si>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</si>
  <si>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</si>
  <si>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Zo√©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</si>
  <si>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</si>
  <si>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</si>
  <si>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</si>
  <si>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</si>
  <si>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</si>
  <si>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</si>
  <si>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</si>
  <si>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</si>
  <si>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</si>
  <si>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</si>
  <si>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</si>
  <si>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</si>
  <si>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</si>
  <si>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</si>
  <si>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</si>
  <si>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</si>
  <si>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</si>
  <si>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</si>
  <si>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</si>
  <si>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</si>
  <si>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Zacar√≠as Galv√°n</t>
  </si>
  <si>
    <t>abrillemus@hotmail.com</t>
  </si>
  <si>
    <t>de4c96f0-b965-4289-ab99-9976cb8ce9b5</t>
  </si>
  <si>
    <t>Camilo Cerv√°ntez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</si>
  <si>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</si>
  <si>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</si>
  <si>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</si>
  <si>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</si>
  <si>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</si>
  <si>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C√©sar Portillo</t>
  </si>
  <si>
    <t>ireneberrios@torres.biz</t>
  </si>
  <si>
    <t>20632308-0231-4070-97bf-4fc82c188f74</t>
  </si>
  <si>
    <t>Gloria Cab√°n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</si>
  <si>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</si>
  <si>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</si>
  <si>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</si>
  <si>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</si>
  <si>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</si>
  <si>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</si>
  <si>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</si>
  <si>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</si>
  <si>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</si>
  <si>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</si>
  <si>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</si>
  <si>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</si>
  <si>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</si>
  <si>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</si>
  <si>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Vel√°squez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</si>
  <si>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</si>
  <si>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</si>
  <si>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</si>
  <si>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</si>
  <si>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</si>
  <si>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</si>
  <si>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</si>
  <si>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</si>
  <si>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Jos√© Mar√≠a Mercado</t>
  </si>
  <si>
    <t>sevillaemiliano@yahoo.com</t>
  </si>
  <si>
    <t>7d923bc2-e260-42ce-af34-40f80a5bb97e</t>
  </si>
  <si>
    <t>Bernab√© Colunga Cordero</t>
  </si>
  <si>
    <t>overa@hotmail.com</t>
  </si>
  <si>
    <t>a0229848-67ee-4a81-b13f-f722ded36349</t>
  </si>
  <si>
    <t>Dulce Mar√≠a Rend√≥n Zedillo</t>
  </si>
  <si>
    <t>jassomarco-antonio@gmail.com</t>
  </si>
  <si>
    <t>dbe8b52b-292f-4415-82d6-3dad0ebf96c7</t>
  </si>
  <si>
    <t>Wilfrido Mariana Rivero Mart√≠nez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</si>
  <si>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</si>
  <si>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</si>
  <si>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</si>
  <si>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</si>
  <si>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</si>
  <si>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Mungu√≠a Paredes</t>
  </si>
  <si>
    <t>jaquelineontiveros@grupo.com</t>
  </si>
  <si>
    <t>770c656a-1e48-4e6d-8a82-6d225a04964e</t>
  </si>
  <si>
    <t>Sr(a). Mario Cort√©s</t>
  </si>
  <si>
    <t>oliviacarmona@magana.net</t>
  </si>
  <si>
    <t>9b5f5828-58aa-4107-b467-e223f64cae41</t>
  </si>
  <si>
    <t>Jer√≥nimo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</si>
  <si>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</si>
  <si>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</si>
  <si>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</si>
  <si>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</si>
  <si>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</si>
  <si>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</si>
  <si>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</si>
  <si>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</si>
  <si>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Galv√°n</t>
  </si>
  <si>
    <t>pilarpena@gmail.com</t>
  </si>
  <si>
    <t>557a8a9d-fb81-41f2-9c1e-7c5651463eae</t>
  </si>
  <si>
    <t>Tom√°s Cabrera Tijerina</t>
  </si>
  <si>
    <t>rene11@carrillo.com</t>
  </si>
  <si>
    <t>5548f892-9c81-4567-87e7-399e543e91d9</t>
  </si>
  <si>
    <t>Ana Mar√≠a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</si>
  <si>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</si>
  <si>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</si>
  <si>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</si>
  <si>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</si>
  <si>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</si>
  <si>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Fr√≠as Paz</t>
  </si>
  <si>
    <t>maytezamudio@hotmail.com</t>
  </si>
  <si>
    <t>e4cf76ae-abd2-47d4-a0b7-6238612481ae</t>
  </si>
  <si>
    <t>Guadalupe Marisol Negr√≥n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</si>
  <si>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</si>
  <si>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</si>
  <si>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</si>
  <si>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</si>
  <si>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</si>
  <si>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Monta√±ez Vel√°zquez</t>
  </si>
  <si>
    <t>eugeniobravo@gmail.com</t>
  </si>
  <si>
    <t>be84e0fe-9e4b-46e0-be04-6f0f71667755</t>
  </si>
  <si>
    <t>Carolina Cab√°n Ur√≠as</t>
  </si>
  <si>
    <t>bruno96@hotmail.com</t>
  </si>
  <si>
    <t>6df2b0ce-9ac0-4cf2-946a-557bf24c972f</t>
  </si>
  <si>
    <t>Timoteo Abelardo Ur√≠as Ni√±o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</si>
  <si>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</si>
  <si>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</si>
  <si>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</si>
  <si>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</si>
  <si>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</si>
  <si>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R√≠os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</si>
  <si>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</si>
  <si>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</si>
  <si>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</si>
  <si>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</si>
  <si>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</si>
  <si>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</si>
  <si>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</si>
  <si>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</si>
  <si>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</si>
  <si>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</si>
  <si>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</si>
  <si>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</si>
  <si>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</si>
  <si>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</si>
  <si>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</si>
  <si>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</si>
  <si>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</si>
  <si>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</si>
  <si>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</si>
  <si>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</si>
  <si>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Benjam√≠n Luisa Marrero Fr√≠as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</si>
  <si>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</si>
  <si>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</si>
  <si>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</si>
  <si>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</si>
  <si>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</si>
  <si>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Pati√±o</t>
  </si>
  <si>
    <t>soledad84@yahoo.com</t>
  </si>
  <si>
    <t>8faa345b-0095-4a30-b89a-79a7b53e217a</t>
  </si>
  <si>
    <t>Carlota Julio de Jes√∫s</t>
  </si>
  <si>
    <t>de-la-fuentereina@gmail.com</t>
  </si>
  <si>
    <t>17ce4fbf-b0f5-4e3b-aeb9-956b5c881168</t>
  </si>
  <si>
    <t>Norma Gast√©lum Est√©vez</t>
  </si>
  <si>
    <t>qde-la-garza@alejandro.info</t>
  </si>
  <si>
    <t>7ca60689-ffdb-4ad9-b339-4085c13dfc70</t>
  </si>
  <si>
    <t>Gilberto Mascare√±as</t>
  </si>
  <si>
    <t>toledojacobo@olivo.biz</t>
  </si>
  <si>
    <t>54fb7e8c-ef1d-4daf-815b-e5c1e7948ed3</t>
  </si>
  <si>
    <t>Concepci√≥n Elias Alonso Garrido</t>
  </si>
  <si>
    <t>jose-luisanaya@olivo-villa.com</t>
  </si>
  <si>
    <t>51261e24-fd4f-491f-82aa-f60c2d85e228</t>
  </si>
  <si>
    <t>Cynthia Rol√≥n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</si>
  <si>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</si>
  <si>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</si>
  <si>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</si>
  <si>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</si>
  <si>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</si>
  <si>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</si>
  <si>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</si>
  <si>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</si>
  <si>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</si>
  <si>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</si>
  <si>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</si>
  <si>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</si>
  <si>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</si>
  <si>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</si>
  <si>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Estefan√≠a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</si>
  <si>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</si>
  <si>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</si>
  <si>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</si>
  <si>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</si>
  <si>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</si>
  <si>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</si>
  <si>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</si>
  <si>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</si>
  <si>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</si>
  <si>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</si>
  <si>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</si>
  <si>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</si>
  <si>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</si>
  <si>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</si>
  <si>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</si>
  <si>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</si>
  <si>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</si>
  <si>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</si>
  <si>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</si>
  <si>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</si>
  <si>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</si>
  <si>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</si>
  <si>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</si>
  <si>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</si>
  <si>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</si>
  <si>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</si>
  <si>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</si>
  <si>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</si>
  <si>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</si>
  <si>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Gait√°n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</si>
  <si>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</si>
  <si>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</si>
  <si>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</si>
  <si>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</si>
  <si>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</si>
  <si>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</si>
  <si>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</si>
  <si>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</si>
  <si>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</si>
  <si>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</si>
  <si>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</si>
  <si>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</si>
  <si>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</si>
  <si>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</si>
  <si>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CALI</t>
  </si>
  <si>
    <t>√Ångel D√°vila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</si>
  <si>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</si>
  <si>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</si>
  <si>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</si>
  <si>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</si>
  <si>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</si>
  <si>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M√©ndez Lebr√≥n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</si>
  <si>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</si>
  <si>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</si>
  <si>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</si>
  <si>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</si>
  <si>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</si>
  <si>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</si>
  <si>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</si>
  <si>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</si>
  <si>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</si>
  <si>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</si>
  <si>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</si>
  <si>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</si>
  <si>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</si>
  <si>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</si>
  <si>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M√≥nica Cristal Chac√≥n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</si>
  <si>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</si>
  <si>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</si>
  <si>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</si>
  <si>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</si>
  <si>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</si>
  <si>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T√≥rrez</t>
  </si>
  <si>
    <t>bravodiego@zayas.info</t>
  </si>
  <si>
    <t>873e756f-1f4a-4de6-90ff-4cb697b1e8fe</t>
  </si>
  <si>
    <t>Nadia P√©rez Medina</t>
  </si>
  <si>
    <t>eduardo52@grupo.info</t>
  </si>
  <si>
    <t>a5740e45-38d1-421a-8d38-8a6d427463c6</t>
  </si>
  <si>
    <t>Jos√© Luis Ana Mar√≠a Robledo Cort√©s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</si>
  <si>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</si>
  <si>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</si>
  <si>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</si>
  <si>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</si>
  <si>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</si>
  <si>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</si>
  <si>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</si>
  <si>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</si>
  <si>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Iv√°n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</si>
  <si>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</si>
  <si>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</si>
  <si>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</si>
  <si>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</si>
  <si>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</si>
  <si>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Jos√© Luis Espinosa Alonso</t>
  </si>
  <si>
    <t>karlavillegas@urias.com</t>
  </si>
  <si>
    <t>fdba0744-ad19-42dc-a09e-8fc306cf7732</t>
  </si>
  <si>
    <t>Alonso Guti√©rrez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</si>
  <si>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</si>
  <si>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</si>
  <si>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</si>
  <si>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</si>
  <si>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</si>
  <si>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</si>
  <si>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</si>
  <si>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</si>
  <si>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</si>
  <si>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</si>
  <si>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</si>
  <si>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</si>
  <si>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</si>
  <si>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</si>
  <si>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</si>
  <si>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Hern√°n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</si>
  <si>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</si>
  <si>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</si>
  <si>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</si>
  <si>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</si>
  <si>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</si>
  <si>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</si>
  <si>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</si>
  <si>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</si>
  <si>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</si>
  <si>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</si>
  <si>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</si>
  <si>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Mar√≠a Renato Ochoa Aguilera</t>
  </si>
  <si>
    <t>pde-jesus@yahoo.com</t>
  </si>
  <si>
    <t>aeae3ab8-cc1b-48bb-8dc8-c1ece4d21277</t>
  </si>
  <si>
    <t>Mar√≠a Gonz√°lez</t>
  </si>
  <si>
    <t>zoeguevara@hotmail.com</t>
  </si>
  <si>
    <t>3820b6cc-8345-41e5-85aa-bd7f843a64c7</t>
  </si>
  <si>
    <t>Dalia Cornelio Trevi√±o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</si>
  <si>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</si>
  <si>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</si>
  <si>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</si>
  <si>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</si>
  <si>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</si>
  <si>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Monta√±ez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</si>
  <si>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</si>
  <si>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</si>
  <si>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</si>
  <si>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</si>
  <si>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</si>
  <si>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</si>
  <si>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</si>
  <si>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</si>
  <si>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</si>
  <si>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</si>
  <si>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</si>
  <si>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Enr√≠quez Pineda</t>
  </si>
  <si>
    <t>gonzalocarrero@proyectos.com</t>
  </si>
  <si>
    <t>9643a7f2-7f1e-4f3a-b67a-e4db4ac513f7</t>
  </si>
  <si>
    <t>Trinidad Holgu√≠n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</si>
  <si>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</si>
  <si>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</si>
  <si>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</si>
  <si>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</si>
  <si>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</si>
  <si>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</si>
  <si>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</si>
  <si>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</si>
  <si>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Galv√°n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</si>
  <si>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</si>
  <si>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</si>
  <si>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</si>
  <si>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</si>
  <si>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</si>
  <si>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</si>
  <si>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</si>
  <si>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</si>
  <si>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D√©bora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</si>
  <si>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</si>
  <si>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</si>
  <si>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</si>
  <si>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</si>
  <si>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</si>
  <si>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</si>
  <si>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</si>
  <si>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</si>
  <si>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Iv√°n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</si>
  <si>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</si>
  <si>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</si>
  <si>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</si>
  <si>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</si>
  <si>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</si>
  <si>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Rold√°n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</si>
  <si>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</si>
  <si>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</si>
  <si>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</si>
  <si>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</si>
  <si>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</si>
  <si>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Jos√© Carlos Rojo P√°ez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</si>
  <si>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</si>
  <si>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</si>
  <si>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</si>
  <si>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</si>
  <si>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</si>
  <si>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Asunci√≥n Rebeca Rivero</t>
  </si>
  <si>
    <t>rosalia18@gmail.com</t>
  </si>
  <si>
    <t>dba5fcd9-c9cd-46ba-a785-12d580ffe57a</t>
  </si>
  <si>
    <t>Sr(a). Armando Carre√≥n</t>
  </si>
  <si>
    <t>del-vallejorge@paz.biz</t>
  </si>
  <si>
    <t>018fc11e-35bf-41a6-9c2e-0fe1cb9dcb9b</t>
  </si>
  <si>
    <t>In√©s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</si>
  <si>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</si>
  <si>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</si>
  <si>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</si>
  <si>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</si>
  <si>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</si>
  <si>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Benjam√≠n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</si>
  <si>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</si>
  <si>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</si>
  <si>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</si>
  <si>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</si>
  <si>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</si>
  <si>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</si>
  <si>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</si>
  <si>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</si>
  <si>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P√©rez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</si>
  <si>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</si>
  <si>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</si>
  <si>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</si>
  <si>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</si>
  <si>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</si>
  <si>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</si>
  <si>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</si>
  <si>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</si>
  <si>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Gast√©lum</t>
  </si>
  <si>
    <t>ibarraza@hotmail.com</t>
  </si>
  <si>
    <t>30a44076-ebcc-4c8b-8064-9e1a18718512</t>
  </si>
  <si>
    <t xml:space="preserve">Laptop-Gaming-4GB </t>
  </si>
  <si>
    <t>V√≠ctor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</si>
  <si>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</si>
  <si>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</si>
  <si>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</si>
  <si>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</si>
  <si>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</si>
  <si>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</si>
  <si>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</si>
  <si>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</si>
  <si>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</si>
  <si>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</si>
  <si>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</si>
  <si>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</si>
  <si>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</si>
  <si>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</si>
  <si>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</si>
  <si>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</si>
  <si>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</si>
  <si>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</si>
  <si>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</si>
  <si>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</si>
  <si>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</si>
  <si>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</si>
  <si>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</si>
  <si>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Jos√© Eduardo Conchita Barrientos Pulido</t>
  </si>
  <si>
    <t>hector75@despacho.org</t>
  </si>
  <si>
    <t>45b7faf6-5799-4708-8c79-9b6b478ccfc3</t>
  </si>
  <si>
    <t>Luc√≠a Irma Z√∫√±iga</t>
  </si>
  <si>
    <t>quirozcristina@hotmail.com</t>
  </si>
  <si>
    <t>03e4dd2e-3e51-4d0d-a880-eb30ad369498</t>
  </si>
  <si>
    <t>Gilberto Mitzy Aguirre Mac√≠as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</si>
  <si>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</si>
  <si>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</si>
  <si>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</si>
  <si>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</si>
  <si>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</si>
  <si>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</si>
  <si>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Agust√≠n Pi√±a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</si>
  <si>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</si>
  <si>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</si>
  <si>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</si>
  <si>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</si>
  <si>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</si>
  <si>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</si>
  <si>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Henr√≠quez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</si>
  <si>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</si>
  <si>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</si>
  <si>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</si>
  <si>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</si>
  <si>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</si>
  <si>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Mar√≠a Verdugo Pichardo</t>
  </si>
  <si>
    <t>epaez@yahoo.com</t>
  </si>
  <si>
    <t>1cc3a12d-c04b-4839-a053-31d0fce65570</t>
  </si>
  <si>
    <t>Omar Casares Benav√≠dez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</si>
  <si>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</si>
  <si>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</si>
  <si>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</si>
  <si>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</si>
  <si>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</si>
  <si>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</si>
  <si>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</si>
  <si>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</si>
  <si>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Jos√© Emilio Herrera Sanabria</t>
  </si>
  <si>
    <t>silviafrias@hotmail.com</t>
  </si>
  <si>
    <t>43bdd060-f236-479e-81bb-97be1c5dc7be</t>
  </si>
  <si>
    <t>Marisol Ver√≥nica Vel√°squez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</si>
  <si>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</si>
  <si>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</si>
  <si>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</si>
  <si>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</si>
  <si>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</si>
  <si>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B√°ez</t>
  </si>
  <si>
    <t>ivonnearmendariz@club.com</t>
  </si>
  <si>
    <t>7a27100e-236d-45f0-952e-b7c838d737a2</t>
  </si>
  <si>
    <t>Mateo Ra√∫l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</si>
  <si>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</si>
  <si>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</si>
  <si>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</si>
  <si>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</si>
  <si>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</si>
  <si>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</si>
  <si>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</si>
  <si>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</si>
  <si>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M√≥nica Acu√±a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</si>
  <si>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</si>
  <si>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</si>
  <si>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</si>
  <si>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</si>
  <si>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</si>
  <si>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Hern√°n Rael</t>
  </si>
  <si>
    <t>omarin@grupo.info</t>
  </si>
  <si>
    <t>ce0567fa-7e48-43a0-a5b7-07aa5cc439d0</t>
  </si>
  <si>
    <t>Esther Dur√°n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</si>
  <si>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</si>
  <si>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</si>
  <si>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</si>
  <si>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</si>
  <si>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</si>
  <si>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</si>
  <si>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</si>
  <si>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</si>
  <si>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</si>
  <si>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</si>
  <si>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</si>
  <si>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Mart√≠n Sara Verduzco</t>
  </si>
  <si>
    <t>susanarodrigez@granado-mora.com</t>
  </si>
  <si>
    <t>b21c5672-3d61-481e-bd82-6e363e042060</t>
  </si>
  <si>
    <t>Rodrigo Yeni Avil√©s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</si>
  <si>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</si>
  <si>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</si>
  <si>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</si>
  <si>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</si>
  <si>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</si>
  <si>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</si>
  <si>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</si>
  <si>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</si>
  <si>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</si>
  <si>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</si>
  <si>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</si>
  <si>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</si>
  <si>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</si>
  <si>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</si>
  <si>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Le√≥n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</si>
  <si>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</si>
  <si>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</si>
  <si>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</si>
  <si>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</si>
  <si>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</si>
  <si>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Ba√±uelos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</si>
  <si>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</si>
  <si>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</si>
  <si>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</si>
  <si>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</si>
  <si>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</si>
  <si>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</si>
  <si>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</si>
  <si>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</si>
  <si>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</si>
  <si>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</si>
  <si>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</si>
  <si>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Vel√°zquez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</si>
  <si>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</si>
  <si>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</si>
  <si>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</si>
  <si>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</si>
  <si>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</si>
  <si>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</si>
  <si>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</si>
  <si>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</si>
  <si>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Ad√°n Ana Ornelas Samaniego</t>
  </si>
  <si>
    <t>de-jesusnatividad@santana.com</t>
  </si>
  <si>
    <t>d6516497-6c06-4709-8da9-2fbc709d5c67</t>
  </si>
  <si>
    <t>Seraf√≠n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</si>
  <si>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</si>
  <si>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</si>
  <si>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</si>
  <si>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</si>
  <si>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</si>
  <si>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</si>
  <si>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</si>
  <si>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</si>
  <si>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</si>
  <si>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</si>
  <si>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</si>
  <si>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Jer√≥nimo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</si>
  <si>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</si>
  <si>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</si>
  <si>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</si>
  <si>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</si>
  <si>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</si>
  <si>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</si>
  <si>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</si>
  <si>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</si>
  <si>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Nicol√°s Mart√≠n B√°ez</t>
  </si>
  <si>
    <t>alfredosamaniego@grupo.info</t>
  </si>
  <si>
    <t>3be08974-31f2-40c3-afb9-3a240fd500b5</t>
  </si>
  <si>
    <t>Ing. Jos√© Benav√≠dez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</si>
  <si>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</si>
  <si>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</si>
  <si>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</si>
  <si>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</si>
  <si>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</si>
  <si>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√ìliver T√©llez</t>
  </si>
  <si>
    <t>ysaldivar@perales.com</t>
  </si>
  <si>
    <t>92e1c1ff-b495-49b7-a5b5-d0aeb1d04194</t>
  </si>
  <si>
    <t>Mar√≠a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</si>
  <si>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</si>
  <si>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</si>
  <si>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</si>
  <si>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</si>
  <si>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</si>
  <si>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</si>
  <si>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</si>
  <si>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</si>
  <si>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Ad√°n Ni√±o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</si>
  <si>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</si>
  <si>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</si>
  <si>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</si>
  <si>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</si>
  <si>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</si>
  <si>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Hern√°n Murillo</t>
  </si>
  <si>
    <t>lgracia@corporacin.com</t>
  </si>
  <si>
    <t>39f5457f-dcd1-4ade-baf5-0b5ac2798271</t>
  </si>
  <si>
    <t>Camila Mar√≠a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</si>
  <si>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</si>
  <si>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</si>
  <si>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</si>
  <si>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</si>
  <si>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</si>
  <si>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Gir√≥n Sosa</t>
  </si>
  <si>
    <t>reynaldo69@gmail.com</t>
  </si>
  <si>
    <t>c52c3f64-0bf6-4119-ab4d-0c0c46049424</t>
  </si>
  <si>
    <t>Roberto Mateo Hurtado Le√≥n</t>
  </si>
  <si>
    <t>sperales@hotmail.com</t>
  </si>
  <si>
    <t>0332c3e0-2f25-4dfd-ad14-79f12be80567</t>
  </si>
  <si>
    <t xml:space="preserve">Monterrey.  </t>
  </si>
  <si>
    <t>Isabela Mario Vigil Colunga</t>
  </si>
  <si>
    <t>wde-la-rosa@club.com</t>
  </si>
  <si>
    <t>ddd463db-888b-4ab8-b2a7-396cacbc0f7c</t>
  </si>
  <si>
    <t>Karina N√∫√±ez</t>
  </si>
  <si>
    <t>laura43@yahoo.com</t>
  </si>
  <si>
    <t>650656a9-a043-47bc-ae91-0380ba19f6d1</t>
  </si>
  <si>
    <t>Wilfrido Daniela Alonso Gayt√°n</t>
  </si>
  <si>
    <t>norma09@hotmail.com</t>
  </si>
  <si>
    <t>63edf886-6d4d-489d-a1a2-e321304707b2</t>
  </si>
  <si>
    <t>Mtro. Emilia Rol√≥n</t>
  </si>
  <si>
    <t>alicia10@yahoo.com</t>
  </si>
  <si>
    <t>3773bcf2-e766-445f-90a8-279d0bd1b1ae</t>
  </si>
  <si>
    <t>Mar√≠a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</si>
  <si>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</si>
  <si>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</si>
  <si>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</si>
  <si>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</si>
  <si>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</si>
  <si>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</si>
  <si>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</si>
  <si>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</si>
  <si>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</si>
  <si>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</si>
  <si>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</si>
  <si>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Cort√©s Gait√°n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</si>
  <si>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</si>
  <si>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</si>
  <si>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</si>
  <si>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</si>
  <si>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</si>
  <si>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</si>
  <si>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</si>
  <si>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</si>
  <si>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 xml:space="preserve">    Monterrey</t>
  </si>
  <si>
    <t>Sr(a). Mar√≠a Navarrete</t>
  </si>
  <si>
    <t>valverdeadalberto@bernal-arellano.com</t>
  </si>
  <si>
    <t>d079bbf1-e637-4020-8ca5-6bb2c45c34f9</t>
  </si>
  <si>
    <t>Raquel Crespo Carri√≥n</t>
  </si>
  <si>
    <t>flaviorosado@yahoo.com</t>
  </si>
  <si>
    <t>7896d226-252e-4fbf-902d-719da7aaaf24</t>
  </si>
  <si>
    <t>Jon√°s Pe√±a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</si>
  <si>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</si>
  <si>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</si>
  <si>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</si>
  <si>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</si>
  <si>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</si>
  <si>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Rafa√©l Gerardo Serrato</t>
  </si>
  <si>
    <t>ballesterosvioleta@gallardo-jiminez.biz</t>
  </si>
  <si>
    <t>f778848a-1ec7-484b-a619-98ff8730961f</t>
  </si>
  <si>
    <t>Claudia Su√°rez Galv√°n</t>
  </si>
  <si>
    <t>nietohilda@yahoo.com</t>
  </si>
  <si>
    <t>008ee7b3-7786-4b09-b979-9ae857581c91</t>
  </si>
  <si>
    <t>Pascual Trevi√±o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</si>
  <si>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</si>
  <si>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</si>
  <si>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</si>
  <si>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</si>
  <si>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</si>
  <si>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J√°quez</t>
  </si>
  <si>
    <t>graya@quintero.com</t>
  </si>
  <si>
    <t>24b8ae05-3a27-4a1d-b704-94fbf52b7e78</t>
  </si>
  <si>
    <t>Jorge Bernardo √Åvalos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</si>
  <si>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</si>
  <si>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</si>
  <si>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</si>
  <si>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</si>
  <si>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</si>
  <si>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</si>
  <si>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</si>
  <si>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</si>
  <si>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</si>
  <si>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</si>
  <si>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</si>
  <si>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Germ√°n Crespo Leyva</t>
  </si>
  <si>
    <t>pamela15@yahoo.com</t>
  </si>
  <si>
    <t>0514f6bb-c61e-409d-8985-bc35bb86f4af</t>
  </si>
  <si>
    <t>Salma Andr√©s Monta√±ez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</si>
  <si>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</si>
  <si>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</si>
  <si>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</si>
  <si>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</si>
  <si>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</si>
  <si>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√ìscar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</si>
  <si>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</si>
  <si>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</si>
  <si>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</si>
  <si>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</si>
  <si>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</si>
  <si>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</si>
  <si>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</si>
  <si>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</si>
  <si>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Alem√°n Duarte</t>
  </si>
  <si>
    <t>gabriela38@gmail.com</t>
  </si>
  <si>
    <t>a9af6b62-1d3a-42df-99e5-230a527f9cf6</t>
  </si>
  <si>
    <t>Mauricio Horacio Mar√≠n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</si>
  <si>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</si>
  <si>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</si>
  <si>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</si>
  <si>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</si>
  <si>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</si>
  <si>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Dom√≠nguez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</si>
  <si>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</si>
  <si>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</si>
  <si>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</si>
  <si>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</si>
  <si>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</si>
  <si>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Agust√≠n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</si>
  <si>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</si>
  <si>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</si>
  <si>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</si>
  <si>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</si>
  <si>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</si>
  <si>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</si>
  <si>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</si>
  <si>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</si>
  <si>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M√≥nica Monta√±ez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</si>
  <si>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</si>
  <si>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</si>
  <si>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</si>
  <si>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</si>
  <si>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</si>
  <si>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</si>
  <si>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</si>
  <si>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</si>
  <si>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</si>
  <si>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</si>
  <si>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</si>
  <si>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</si>
  <si>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</si>
  <si>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</si>
  <si>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</si>
  <si>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</si>
  <si>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</si>
  <si>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</si>
  <si>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</si>
  <si>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</si>
  <si>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</si>
  <si>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</si>
  <si>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</si>
  <si>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Su√°rez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</si>
  <si>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</si>
  <si>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</si>
  <si>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</si>
  <si>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</si>
  <si>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</si>
  <si>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</si>
  <si>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</si>
  <si>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</si>
  <si>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</si>
  <si>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</si>
  <si>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</si>
  <si>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V√°squez Alem√°n</t>
  </si>
  <si>
    <t>xcamacho@gmail.com</t>
  </si>
  <si>
    <t>c1fae86b-bd50-4387-a36c-f6dd0feee517</t>
  </si>
  <si>
    <t>Leonel Noelia Sol√≠s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</si>
  <si>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</si>
  <si>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</si>
  <si>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</si>
  <si>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</si>
  <si>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</si>
  <si>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Rafa√©l Morales Valles</t>
  </si>
  <si>
    <t>zoe02@yahoo.com</t>
  </si>
  <si>
    <t>346d7c42-eb45-461e-a667-5669781129fb</t>
  </si>
  <si>
    <t>Ad√°n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</si>
  <si>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</si>
  <si>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</si>
  <si>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</si>
  <si>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</si>
  <si>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</si>
  <si>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</si>
  <si>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</si>
  <si>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</si>
  <si>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</si>
  <si>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</si>
  <si>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</si>
  <si>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Tom√°s Cuellar</t>
  </si>
  <si>
    <t>guerrahernan@hotmail.com</t>
  </si>
  <si>
    <t>4181125d-2bd6-43ef-b4f7-d88b503ebcc9</t>
  </si>
  <si>
    <t>Lic. Vanesa Enr√≠quez</t>
  </si>
  <si>
    <t>kponce@yahoo.com</t>
  </si>
  <si>
    <t>c039c16a-b7e7-4616-8b5d-dbc120a30d24</t>
  </si>
  <si>
    <t>Mario Gilberto T√≥rrez</t>
  </si>
  <si>
    <t>zeferinomadera@ramos.org</t>
  </si>
  <si>
    <t>bea55d48-ca8e-4a5e-81da-22d3ae44e9a0</t>
  </si>
  <si>
    <t>Clara Echeverr√≠a</t>
  </si>
  <si>
    <t>jluevano@grupo.org</t>
  </si>
  <si>
    <t>d6c6c3cb-6cf5-40a9-b8d5-65640f8dab1c</t>
  </si>
  <si>
    <t>Lorena Jacinto Lim√≥n</t>
  </si>
  <si>
    <t>rtejeda@pelayo.net</t>
  </si>
  <si>
    <t>60d79197-fd4c-4a31-a577-d7d861b32c67</t>
  </si>
  <si>
    <t>Asunci√≥n Maximiliano Baca Ram√≠rez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</si>
  <si>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</si>
  <si>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</si>
  <si>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</si>
  <si>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</si>
  <si>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</si>
  <si>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</si>
  <si>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</si>
  <si>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</si>
  <si>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Benjam√≠n Alejandra Zapata Zamudio</t>
  </si>
  <si>
    <t>bgranado@mata.biz</t>
  </si>
  <si>
    <t>d5d39d13-0c4d-4695-9fb3-6fbc66298a78</t>
  </si>
  <si>
    <t>Cristina Valent√≠n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</si>
  <si>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</si>
  <si>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</si>
  <si>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</si>
  <si>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</si>
  <si>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</si>
  <si>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Ram√≥n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</si>
  <si>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</si>
  <si>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</si>
  <si>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</si>
  <si>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</si>
  <si>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</si>
  <si>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</si>
  <si>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</si>
  <si>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</si>
  <si>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</si>
  <si>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</si>
  <si>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</si>
  <si>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</si>
  <si>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</si>
  <si>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</si>
  <si>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</si>
  <si>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</si>
  <si>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</si>
  <si>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Ju√°rez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</si>
  <si>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</si>
  <si>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</si>
  <si>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</si>
  <si>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</si>
  <si>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</si>
  <si>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Cr√∫z</t>
  </si>
  <si>
    <t>jimenezirma@vega-mena.com</t>
  </si>
  <si>
    <t>720e7c71-4c87-47e1-b24a-7f8c021bc9a3</t>
  </si>
  <si>
    <t>MONTERREY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</si>
  <si>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</si>
  <si>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</si>
  <si>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</si>
  <si>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</si>
  <si>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</si>
  <si>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</si>
  <si>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</si>
  <si>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</si>
  <si>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</si>
  <si>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Mar√≠a Teresa Citlali Negrete</t>
  </si>
  <si>
    <t>nayeli04@villagomez-salcido.com</t>
  </si>
  <si>
    <t>f6d11075-7912-4e6a-b081-b8502c35c2e8</t>
  </si>
  <si>
    <t>Eric Joaqu√≠n Navarrete</t>
  </si>
  <si>
    <t>emiliano90@zayas-valentin.com</t>
  </si>
  <si>
    <t>2cd50550-d603-41b2-a403-b06bf90f402c</t>
  </si>
  <si>
    <t>Adalberto Nayeli Villarreal D√°vila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</si>
  <si>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</si>
  <si>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</si>
  <si>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</si>
  <si>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</si>
  <si>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</si>
  <si>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Rasc√≥n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</si>
  <si>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</si>
  <si>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</si>
  <si>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</si>
  <si>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</si>
  <si>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</si>
  <si>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</si>
  <si>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</si>
  <si>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</si>
  <si>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Jos√© Eduardo Rol√≥n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</si>
  <si>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</si>
  <si>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</si>
  <si>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</si>
  <si>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</si>
  <si>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</si>
  <si>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</si>
  <si>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</si>
  <si>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</si>
  <si>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Mar√≠a Calder√≥n Valdivia</t>
  </si>
  <si>
    <t>arceliagracia@ramos-carrillo.com</t>
  </si>
  <si>
    <t>590172c6-7ce0-48b6-82b2-7436a3631331</t>
  </si>
  <si>
    <t>Leonel Cruz Enr√≠quez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</si>
  <si>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</si>
  <si>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</si>
  <si>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</si>
  <si>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</si>
  <si>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</si>
  <si>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</si>
  <si>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</si>
  <si>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</si>
  <si>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</si>
  <si>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</si>
  <si>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</si>
  <si>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In√©s Meza Campos</t>
  </si>
  <si>
    <t>mariano56@gmail.com</t>
  </si>
  <si>
    <t>42475c68-ebdf-44e9-8ae2-152388b5d345</t>
  </si>
  <si>
    <t>Mauricio Jos√© Luis Arroyo Mascare√±as</t>
  </si>
  <si>
    <t>cristalfernandez@avalos-puga.org</t>
  </si>
  <si>
    <t>f10d9e5e-78e5-42f9-984f-478745f93fb9</t>
  </si>
  <si>
    <t>Ofelia Su√°rez</t>
  </si>
  <si>
    <t>mauricio18@preciado-acuna.com</t>
  </si>
  <si>
    <t>e7e6c336-1e49-4295-a6a2-d4acf044ce4d</t>
  </si>
  <si>
    <t>Armando √Ångela Ju√°rez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</si>
  <si>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</si>
  <si>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</si>
  <si>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</si>
  <si>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</si>
  <si>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</si>
  <si>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Carre√≥n</t>
  </si>
  <si>
    <t>moraclara@hotmail.com</t>
  </si>
  <si>
    <t>700aef49-fe52-4fd6-8401-bbfa8ba48024</t>
  </si>
  <si>
    <t>√ìscar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</si>
  <si>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</si>
  <si>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</si>
  <si>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</si>
  <si>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</si>
  <si>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</si>
  <si>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Mar√≠a Pichardo Sep√∫lveda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</si>
  <si>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</si>
  <si>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</si>
  <si>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</si>
  <si>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</si>
  <si>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</si>
  <si>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</si>
  <si>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</si>
  <si>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</si>
  <si>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Rub√©n Armend√°riz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</si>
  <si>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</si>
  <si>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</si>
  <si>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</si>
  <si>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</si>
  <si>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</si>
  <si>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H√©ctor Jos√©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</si>
  <si>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</si>
  <si>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</si>
  <si>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</si>
  <si>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</si>
  <si>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</si>
  <si>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Jes√∫s Burgos Ballesteros</t>
  </si>
  <si>
    <t>yeni67@hotmail.com</t>
  </si>
  <si>
    <t>117eebda-32b4-42cc-95e1-dc2c259fffa6</t>
  </si>
  <si>
    <t>Yolanda Joaqu√≠n Barela M√©ndez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</si>
  <si>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</si>
  <si>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</si>
  <si>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</si>
  <si>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</si>
  <si>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</si>
  <si>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Ure√±a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</si>
  <si>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</si>
  <si>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</si>
  <si>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</si>
  <si>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</si>
  <si>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</si>
  <si>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Men√©ndez</t>
  </si>
  <si>
    <t>beatriz85@almanza-carrera.com</t>
  </si>
  <si>
    <t>2119f43d-1200-4439-ad32-eab189cb6475</t>
  </si>
  <si>
    <t>H√©ctor Luevano</t>
  </si>
  <si>
    <t>sergio69@laboratorios.com</t>
  </si>
  <si>
    <t>517b090a-2e73-4c68-aad4-180d1350b369</t>
  </si>
  <si>
    <t>Esteban Jos√© Emilio Polanco Valent√≠n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</si>
  <si>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</si>
  <si>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</si>
  <si>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</si>
  <si>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</si>
  <si>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</si>
  <si>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</si>
  <si>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</si>
  <si>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</si>
  <si>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R√≠os</t>
  </si>
  <si>
    <t>jaquelinecaban@muniz.info</t>
  </si>
  <si>
    <t>99b0e8dd-7174-4559-a628-143ef6d46608</t>
  </si>
  <si>
    <t>√ìscar Ulloa Valdivia</t>
  </si>
  <si>
    <t>alvaro06@yahoo.com</t>
  </si>
  <si>
    <t>5150f58c-f863-4f35-bdd4-d6cfc1a1ef10</t>
  </si>
  <si>
    <t>Miguel √Ångel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</si>
  <si>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</si>
  <si>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</si>
  <si>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</si>
  <si>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</si>
  <si>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</si>
  <si>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</si>
  <si>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</si>
  <si>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</si>
  <si>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</si>
  <si>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</si>
  <si>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</si>
  <si>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Ram√≥n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</si>
  <si>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</si>
  <si>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</si>
  <si>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</si>
  <si>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</si>
  <si>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</si>
  <si>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</si>
  <si>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</si>
  <si>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</si>
  <si>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</si>
  <si>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</si>
  <si>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</si>
  <si>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</si>
  <si>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</si>
  <si>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</si>
  <si>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</si>
  <si>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</si>
  <si>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</si>
  <si>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</si>
  <si>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</si>
  <si>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</si>
  <si>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</si>
  <si>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</si>
  <si>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</si>
  <si>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Concepci√≥n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</si>
  <si>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</si>
  <si>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</si>
  <si>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</si>
  <si>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</si>
  <si>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</si>
  <si>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</si>
  <si>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</si>
  <si>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</si>
  <si>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Mel√©ndez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</si>
  <si>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</si>
  <si>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</si>
  <si>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</si>
  <si>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</si>
  <si>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</si>
  <si>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Rold√°n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</si>
  <si>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</si>
  <si>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</si>
  <si>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</si>
  <si>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</si>
  <si>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</si>
  <si>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Bernab√© Zaragoza</t>
  </si>
  <si>
    <t>htorrez@despacho.com</t>
  </si>
  <si>
    <t>f652769b-e1e8-44a1-8f3d-6f80c1ac3f13</t>
  </si>
  <si>
    <t>Armando M√≥nica Reyna</t>
  </si>
  <si>
    <t>bravofrancisco@gmail.com</t>
  </si>
  <si>
    <t>c29d00e9-6a9a-45f0-b194-a343ff209570</t>
  </si>
  <si>
    <t>Dr. Jos√© Manu√©l Candelaria</t>
  </si>
  <si>
    <t>gabriel22@pineda-villarreal.info</t>
  </si>
  <si>
    <t>ece1df7a-ba2b-48cc-9d1f-e8d8a307a1c6</t>
  </si>
  <si>
    <t>Estela Iv√°n Figueroa</t>
  </si>
  <si>
    <t>maria-del-carmenramos@hotmail.com</t>
  </si>
  <si>
    <t>0e8a03cd-16fb-4487-accf-bc309a83a97e</t>
  </si>
  <si>
    <t>Mar√≠a Luisa Cardenas Montemayor</t>
  </si>
  <si>
    <t>rgarza@castellanos-cedillo.net</t>
  </si>
  <si>
    <t>d337811c-59ff-494c-9e71-77b6282c296c</t>
  </si>
  <si>
    <t>Dr. Jos√© Eduardo Moreno</t>
  </si>
  <si>
    <t>pbarrera@gmail.com</t>
  </si>
  <si>
    <t>017b54f8-9568-458c-be6a-2127e15e3349</t>
  </si>
  <si>
    <t>Mtro. √örsula Palacios</t>
  </si>
  <si>
    <t>violetaorta@hotmail.com</t>
  </si>
  <si>
    <t>8d755bac-229c-4065-93f5-cba971acb014</t>
  </si>
  <si>
    <t>Nadia Canales N√∫√±ez</t>
  </si>
  <si>
    <t>miriam44@bravo.com</t>
  </si>
  <si>
    <t>0aaaf135-b356-4f2c-bdf2-f1df1f461081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</si>
  <si>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</si>
  <si>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</si>
  <si>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</si>
  <si>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</si>
  <si>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</si>
  <si>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</si>
  <si>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Dr. Mar√≠a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</si>
  <si>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</si>
  <si>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</si>
  <si>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</si>
  <si>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</si>
  <si>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</si>
  <si>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Negr√≥n</t>
  </si>
  <si>
    <t>maytetovar@hotmail.com</t>
  </si>
  <si>
    <t>1f451643-e6fa-4d54-b03d-304b7a23b3e1</t>
  </si>
  <si>
    <t>Dr. Ariadna de Jes√∫s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</si>
  <si>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</si>
  <si>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</si>
  <si>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</si>
  <si>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</si>
  <si>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</si>
  <si>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</si>
  <si>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</si>
  <si>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</si>
  <si>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</si>
  <si>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</si>
  <si>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</si>
  <si>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Le√≥n</t>
  </si>
  <si>
    <t>trujilloalonso@gmail.com</t>
  </si>
  <si>
    <t>b7681cb8-fbde-4312-ba1b-0c772e149e82</t>
  </si>
  <si>
    <t>Mar√≠a Teresa Ocasio Vera</t>
  </si>
  <si>
    <t>alvavioleta@grupo.com</t>
  </si>
  <si>
    <t>d9f6800f-10da-460e-b27e-bdbb10820a14</t>
  </si>
  <si>
    <t>Jes√∫s Carre√≥n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</si>
  <si>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</si>
  <si>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</si>
  <si>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</si>
  <si>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</si>
  <si>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</si>
  <si>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D√©bora Alberto de Jes√∫s Rodr√≠guez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</si>
  <si>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</si>
  <si>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</si>
  <si>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</si>
  <si>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</si>
  <si>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</si>
  <si>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</si>
  <si>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</si>
  <si>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</si>
  <si>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</si>
  <si>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</si>
  <si>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</si>
  <si>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</si>
  <si>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</si>
  <si>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</si>
  <si>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</si>
  <si>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</si>
  <si>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</si>
  <si>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</si>
  <si>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</si>
  <si>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</si>
  <si>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</si>
  <si>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</si>
  <si>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</si>
  <si>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</si>
  <si>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</si>
  <si>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</si>
  <si>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</si>
  <si>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</si>
  <si>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</si>
  <si>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Maga√±a</t>
  </si>
  <si>
    <t>najerazeferino@hotmail.com</t>
  </si>
  <si>
    <t>4d3c7cfd-d33e-47a8-a31b-f2a694c31429</t>
  </si>
  <si>
    <t>Roberto Mar√≠a Cristina Madera Alejandro</t>
  </si>
  <si>
    <t>teodoro56@yahoo.com</t>
  </si>
  <si>
    <t>bfde20ee-a837-4bd7-af36-f9e5b40dfe3b</t>
  </si>
  <si>
    <t>Mar√≠a Jos√©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</si>
  <si>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</si>
  <si>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</si>
  <si>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</si>
  <si>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</si>
  <si>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</si>
  <si>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</si>
  <si>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</si>
  <si>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</si>
  <si>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Ciudad NOMPROPIO</t>
  </si>
  <si>
    <t>Ciudad ESPACIOS</t>
  </si>
  <si>
    <t>Ciudad Corregida</t>
  </si>
  <si>
    <t>Categoria</t>
  </si>
  <si>
    <t>Tipo</t>
  </si>
  <si>
    <t>Especificaciones</t>
  </si>
  <si>
    <t>27/10/2024</t>
  </si>
  <si>
    <t>Gregorio Gayt√°n</t>
  </si>
  <si>
    <t>maytezedillo@grupo.com</t>
  </si>
  <si>
    <t>1fd52e4f-ce34-4747-8dc7-fa4b9fe57dc4</t>
  </si>
  <si>
    <t>28/11/2024</t>
  </si>
  <si>
    <t>Miguel √Ångel Mondrag√≥n Benav√≠dez</t>
  </si>
  <si>
    <t>bmontanez@yahoo.com</t>
  </si>
  <si>
    <t>9300cdf6-1250-4659-917a-93641a266da5</t>
  </si>
  <si>
    <t>Ciudad de M√©xico</t>
  </si>
  <si>
    <t>15/12/2024</t>
  </si>
  <si>
    <t>Virginia Mondrag√≥n</t>
  </si>
  <si>
    <t>josefina68@proyectos.com</t>
  </si>
  <si>
    <t>e58774cc-8183-4c21-b23d-1089685c61dd</t>
  </si>
  <si>
    <t>23/12/2024</t>
  </si>
  <si>
    <t>Luis Manuel Aldonza Contreras</t>
  </si>
  <si>
    <t>castilloteodoro@yahoo.com</t>
  </si>
  <si>
    <t>4e85609f-8a23-4d99-a616-2f83279d0dc0</t>
  </si>
  <si>
    <t>19/12/2024</t>
  </si>
  <si>
    <t>Sr(a). Karla Mateo</t>
  </si>
  <si>
    <t>reynaldo65@esparza.com</t>
  </si>
  <si>
    <t>fde0973c-ba07-4b7c-b196-f9743e17466a</t>
  </si>
  <si>
    <t>22/10/2024</t>
  </si>
  <si>
    <t>Iv√°n Sanches Vallejo</t>
  </si>
  <si>
    <t>reinaenriquez@sarabia-badillo.com</t>
  </si>
  <si>
    <t>166ba421-1a83-493d-b4f5-5832605721e4</t>
  </si>
  <si>
    <t>29/12/2024</t>
  </si>
  <si>
    <t>Aldo Rodr√≠gez</t>
  </si>
  <si>
    <t>isabelojeda@grupo.com</t>
  </si>
  <si>
    <t>f8087330-1de4-4af6-8cae-e91d660b819f</t>
  </si>
  <si>
    <t>14/10/2024</t>
  </si>
  <si>
    <t>Gabino Rub√©n Men√©ndez</t>
  </si>
  <si>
    <t>bernardovillagomez@laboratorios.org</t>
  </si>
  <si>
    <t>df7f87e2-753a-411f-bbe9-b634b149f17c</t>
  </si>
  <si>
    <t xml:space="preserve">CIUDAD DE M√âXICO </t>
  </si>
  <si>
    <t>14/11/2024</t>
  </si>
  <si>
    <t>Armando Ricardo Dur√°n</t>
  </si>
  <si>
    <t>trevinozeferino@hotmail.com</t>
  </si>
  <si>
    <t>c2c34b94-f490-4a39-9f0d-d895d228fae3</t>
  </si>
  <si>
    <t>23/10/2024</t>
  </si>
  <si>
    <t>Blanca Ord√≥√±ez Matos</t>
  </si>
  <si>
    <t>yuridiavillagomez@yahoo.com</t>
  </si>
  <si>
    <t>e9bf9df3-945d-4164-9afd-4e3cdee9991c</t>
  </si>
  <si>
    <t>25/12/2024</t>
  </si>
  <si>
    <t>Dar√≠o Mart√≠n Tovar</t>
  </si>
  <si>
    <t>eduardo10@gmail.com</t>
  </si>
  <si>
    <t>ced0a1f9-ee13-48fd-ae58-db4f7cdfb189</t>
  </si>
  <si>
    <t>Lic. Jos√© Manu√©l Torres</t>
  </si>
  <si>
    <t>renatoorellana@gmail.com</t>
  </si>
  <si>
    <t>5004d2bb-d9ba-4955-8ee4-bf09d5db221e</t>
  </si>
  <si>
    <t>20/10/2024</t>
  </si>
  <si>
    <t>Amalia Guillermina Ozuna Santana</t>
  </si>
  <si>
    <t>ramiroenriquez@borrego-cuellar.com</t>
  </si>
  <si>
    <t>62a28aa3-fc75-41e7-abc8-fbb577726ebd</t>
  </si>
  <si>
    <t>BOGOT√Å</t>
  </si>
  <si>
    <t>21/11/2024</t>
  </si>
  <si>
    <t>Delia Rosario</t>
  </si>
  <si>
    <t>guruleserafin@industrias.biz</t>
  </si>
  <si>
    <t>a23fb156-d7f0-48b3-8429-51722fc91010</t>
  </si>
  <si>
    <t>24/12/2024</t>
  </si>
  <si>
    <t>Ing. Emilia Fajardo</t>
  </si>
  <si>
    <t>estelarocha@oquendo.org</t>
  </si>
  <si>
    <t>8e37e816-5b3d-4cf1-9cef-cf002ceb456f</t>
  </si>
  <si>
    <t>13/10/2024</t>
  </si>
  <si>
    <t>Israel de Anda Rodr√≠guez</t>
  </si>
  <si>
    <t>sonia24@gmail.com</t>
  </si>
  <si>
    <t>7da07b63-351f-4e52-aa15-8e1320b57edf</t>
  </si>
  <si>
    <t>29/10/2024</t>
  </si>
  <si>
    <t>Benito Carla Cano Olvera</t>
  </si>
  <si>
    <t>antoniovillalobos@gmail.com</t>
  </si>
  <si>
    <t>7f6c0f86-6158-4f16-8105-a9407f403fe9</t>
  </si>
  <si>
    <t>23/11/2024</t>
  </si>
  <si>
    <t>Abelardo Cynthia Crespo</t>
  </si>
  <si>
    <t>ecasas@yahoo.com</t>
  </si>
  <si>
    <t>bfef5ecf-9029-4f0b-9ca9-4cce9f340385</t>
  </si>
  <si>
    <t>30/11/2024</t>
  </si>
  <si>
    <t>Claudio Laura Corona Cordero</t>
  </si>
  <si>
    <t>solizespartaco@raya.com</t>
  </si>
  <si>
    <t>b3a633a5-e62e-4c18-a2a7-1e1b9a949d2a</t>
  </si>
  <si>
    <t>28/12/2024</t>
  </si>
  <si>
    <t>Anabel Gonzalo Pedroza</t>
  </si>
  <si>
    <t>helena29@leiva.com</t>
  </si>
  <si>
    <t>3c3a1e13-f9c9-448a-91f3-059857dd86f5</t>
  </si>
  <si>
    <t>Pamela Rolando Ayala</t>
  </si>
  <si>
    <t>zrenteria@yahoo.com</t>
  </si>
  <si>
    <t>3c8ea69b-f625-4431-b5c1-1d4bdc621135</t>
  </si>
  <si>
    <t>Ver√≥nica Francisca Tafoya</t>
  </si>
  <si>
    <t>nicolas87@gmail.com</t>
  </si>
  <si>
    <t>fd16a28b-5ec8-4f7c-aac8-e6c93568cda5</t>
  </si>
  <si>
    <t>Dr. Alonso Abreu</t>
  </si>
  <si>
    <t>noeliajaquez@corporacin.net</t>
  </si>
  <si>
    <t>bbcfa88c-1300-46e2-bc6a-e3c6ddbb62d8</t>
  </si>
  <si>
    <t>Vicente Israel Cort√©s</t>
  </si>
  <si>
    <t>herediaclaudio@yahoo.com</t>
  </si>
  <si>
    <t>bb3ff505-4124-4f45-b8b6-401ab861a5af</t>
  </si>
  <si>
    <t>30/10/2024</t>
  </si>
  <si>
    <t>Yeni Indira Loya</t>
  </si>
  <si>
    <t>colladoelvira@yahoo.com</t>
  </si>
  <si>
    <t>ad128167-ed41-4cfc-980f-861300230ea2</t>
  </si>
  <si>
    <t>Esteban Violeta Loya</t>
  </si>
  <si>
    <t>isaucedo@gmail.com</t>
  </si>
  <si>
    <t>8f1343f8-568b-4478-bc57-4112e44e97c4</t>
  </si>
  <si>
    <t>16/10/2024</t>
  </si>
  <si>
    <t>Gustavo Bernardo Brise√±o Mar√≠n</t>
  </si>
  <si>
    <t>genaro77@pedraza.com</t>
  </si>
  <si>
    <t>84e9d394-3af7-4da9-9805-83c89cc6120f</t>
  </si>
  <si>
    <t>Dr. Conchita Nazario</t>
  </si>
  <si>
    <t>alonsopaz@yahoo.com</t>
  </si>
  <si>
    <t>6a6b7bb0-7d16-4f28-a74f-712ee43c38a6</t>
  </si>
  <si>
    <t>Dr. Vanesa Valverde</t>
  </si>
  <si>
    <t>miguel-angel20@hotmail.com</t>
  </si>
  <si>
    <t>4d3b34a5-8ae2-4de1-a0af-616e0a229665</t>
  </si>
  <si>
    <t>Rosario Leticia Calder√≥n Mota</t>
  </si>
  <si>
    <t>saucedajeronimo@rivera-limon.com</t>
  </si>
  <si>
    <t>768f4e3f-b865-4aa6-92fa-bf0b9431ed0a</t>
  </si>
  <si>
    <t>Sr(a). Jer√≥nimo Nava</t>
  </si>
  <si>
    <t>ozunaamanda@yahoo.com</t>
  </si>
  <si>
    <t>e3cbaf49-bfb7-417c-9883-c7501381b3e1</t>
  </si>
  <si>
    <t>14/12/2024</t>
  </si>
  <si>
    <t>Dalia Crespo</t>
  </si>
  <si>
    <t>carlos81@yahoo.com</t>
  </si>
  <si>
    <t>7b989337-edb6-498f-9b1d-9056bb83e316</t>
  </si>
  <si>
    <t>Cristian Ofelia Urbina Murillo</t>
  </si>
  <si>
    <t>zgodoy@gmail.com</t>
  </si>
  <si>
    <t>ffdae6e0-eb2e-4a6c-8726-a98497d0dedb</t>
  </si>
  <si>
    <t>Horacio Moya Noriega</t>
  </si>
  <si>
    <t>8ed93f26-7deb-40c4-b603-2dab763f14bd</t>
  </si>
  <si>
    <t>Abel Teresa Z√∫√±iga</t>
  </si>
  <si>
    <t>esperanzavelasquez@grupo.com</t>
  </si>
  <si>
    <t>15e734e2-2950-4516-be09-1c82cf0c10ef</t>
  </si>
  <si>
    <t>Rosario Centeno Rosario</t>
  </si>
  <si>
    <t>ugamez@despacho.com</t>
  </si>
  <si>
    <t>677b528f-dda1-49de-adfd-cb2648ff77c2</t>
  </si>
  <si>
    <t>Jos Vega</t>
  </si>
  <si>
    <t>garicaalvaro@hotmail.com</t>
  </si>
  <si>
    <t>6c8cd43e-c6ec-498f-b791-a986f872af1d</t>
  </si>
  <si>
    <t>Ariadna Rosas Altamirano</t>
  </si>
  <si>
    <t>avilajosefina@grupo.com</t>
  </si>
  <si>
    <t>0b19abc7-fda3-4d4c-944d-c789af3a12ee</t>
  </si>
  <si>
    <t>Teodoro Nieves Burgos</t>
  </si>
  <si>
    <t>carmenamador@yahoo.com</t>
  </si>
  <si>
    <t>20cb126e-53ab-49aa-9f94-792732fd304c</t>
  </si>
  <si>
    <t>22/11/2024</t>
  </si>
  <si>
    <t xml:space="preserve">Tablet-Mini-32GB </t>
  </si>
  <si>
    <t>Aldonza Morales Pi√±a</t>
  </si>
  <si>
    <t>ocruz@gmail.com</t>
  </si>
  <si>
    <t>135a4c21-3cb1-4e50-ba78-3db911948053</t>
  </si>
  <si>
    <t>Nancy Mauro Ibarra Lucio</t>
  </si>
  <si>
    <t>olivareshoracio@sarabia.net</t>
  </si>
  <si>
    <t>749cbc33-d403-4c84-a42b-66866a2e6f47</t>
  </si>
  <si>
    <t>Socorro Aida Moya Amaya</t>
  </si>
  <si>
    <t>roldanclaudia@yahoo.com</t>
  </si>
  <si>
    <t>c7c879c2-7a83-4527-a295-5f822ea9b655</t>
  </si>
  <si>
    <t>27/12/2024</t>
  </si>
  <si>
    <t>Lic. Alfredo Ozuna</t>
  </si>
  <si>
    <t>maria-eugenia57@yahoo.com</t>
  </si>
  <si>
    <t>95af7f10-1768-4963-ab62-677ee934c6c0</t>
  </si>
  <si>
    <t>26/12/2024</t>
  </si>
  <si>
    <t>Cristobal Germ√°n Razo Montenegro</t>
  </si>
  <si>
    <t>isaac14@yahoo.com</t>
  </si>
  <si>
    <t>6152d019-c240-4dd1-adb5-1811f3729839</t>
  </si>
  <si>
    <t>24/11/2024</t>
  </si>
  <si>
    <t>Wilfrido Evelio Marrero Sotelo</t>
  </si>
  <si>
    <t>polancoalejandro@centeno-mata.info</t>
  </si>
  <si>
    <t>8c7eb2e6-d1ab-4158-93c5-a214d07681c6</t>
  </si>
  <si>
    <t>CIUDAD DE M√âXICO</t>
  </si>
  <si>
    <t>MEDELL√çN</t>
  </si>
  <si>
    <t xml:space="preserve">Auriculares-Cancelación de ruido-8GB </t>
  </si>
  <si>
    <t>Clemente Irene Carrera</t>
  </si>
  <si>
    <t>trejoeugenia@yahoo.com</t>
  </si>
  <si>
    <t>544cee72-594a-4c94-8dc6-243ba049fe28</t>
  </si>
  <si>
    <t>Cristal de la O Tovar</t>
  </si>
  <si>
    <t>de-la-cruzarturo@yahoo.com</t>
  </si>
  <si>
    <t>9d884542-5d01-4a57-bd22-ce173740036f</t>
  </si>
  <si>
    <t>Salvador Berr√≠os Preciado</t>
  </si>
  <si>
    <t>elviragodoy@yahoo.com</t>
  </si>
  <si>
    <t>e387b8f5-c2cb-4dfe-a9c5-5747a0bf2ba4</t>
  </si>
  <si>
    <t>Arcelia Victoria Ferrer</t>
  </si>
  <si>
    <t>wcastillo@gmail.com</t>
  </si>
  <si>
    <t>5a679e4d-2017-44f1-8c69-308bd963826c</t>
  </si>
  <si>
    <t>Lic. Luis Miguel Lerma</t>
  </si>
  <si>
    <t>aldo50@hotmail.com</t>
  </si>
  <si>
    <t>19e94e09-d952-49ce-b5b6-95c649d995d4</t>
  </si>
  <si>
    <t>Luisa Dom√≠nguez Ocampo</t>
  </si>
  <si>
    <t>calderonblanca@candelaria-figueroa.biz</t>
  </si>
  <si>
    <t>7c0a6b67-d03e-4b5f-95bc-b0d715cb90f0</t>
  </si>
  <si>
    <t>Cornelio Jos√© Manu√©l Ure√±a Cazares</t>
  </si>
  <si>
    <t>oquintero@yahoo.com</t>
  </si>
  <si>
    <t>08269db4-0566-4ede-ba0a-3261c90dd7cc</t>
  </si>
  <si>
    <t>Wilfrido Jorge Portillo Roque</t>
  </si>
  <si>
    <t>carlotaarevalo@hotmail.com</t>
  </si>
  <si>
    <t>a2415cd2-e7d5-4a04-aa89-a0821ac995b6</t>
  </si>
  <si>
    <t>Perla Villase√±or Holgu√≠n</t>
  </si>
  <si>
    <t>jaquelineguerrero@hotmail.com</t>
  </si>
  <si>
    <t>cc9e3eb1-75ac-43c1-9836-fb3698df70e0</t>
  </si>
  <si>
    <t>Ernesto de la Fuente Lozano</t>
  </si>
  <si>
    <t>zcarrasco@ornelas.net</t>
  </si>
  <si>
    <t>b286124b-1bcf-484f-92a1-6fc89c6f74ee</t>
  </si>
  <si>
    <t>Dr. Eloisa Ballesteros</t>
  </si>
  <si>
    <t>concepcionnicolas@laboratorios.net</t>
  </si>
  <si>
    <t>8a9c117c-0931-4ed8-9d8f-3a5c2d9c904f</t>
  </si>
  <si>
    <t>Yuridia Nayeli Armas Arag√≥n</t>
  </si>
  <si>
    <t>amadorana-maria@yahoo.com</t>
  </si>
  <si>
    <t>9b9cbe9b-905b-4b17-a60a-f42b5800d911</t>
  </si>
  <si>
    <t>Hern√°n Samuel Col√≥n</t>
  </si>
  <si>
    <t>xapodaca@proyectos.com</t>
  </si>
  <si>
    <t>ca1cb20b-c27e-4a80-abe5-5c61f19ada3a</t>
  </si>
  <si>
    <t>Evelio Luz Herrera Melgar</t>
  </si>
  <si>
    <t>parchuleta@corporacin.com</t>
  </si>
  <si>
    <t>2198c786-f1c8-4272-9619-35fe62fbf3c5</t>
  </si>
  <si>
    <t>Lic. Mar√≠a Jos√© Carrera</t>
  </si>
  <si>
    <t>manuelhinojosa@yahoo.com</t>
  </si>
  <si>
    <t>7fdbc1e6-947e-4174-a90b-3e6fa8d1770d</t>
  </si>
  <si>
    <t>Ana Mar√≠a Cruz Montero</t>
  </si>
  <si>
    <t>ialvarado@yahoo.com</t>
  </si>
  <si>
    <t>1bd0c57b-8184-4850-859c-b8ff7197c553</t>
  </si>
  <si>
    <t>Lic. Nicol√°s Guevara</t>
  </si>
  <si>
    <t>reynaldoruelas@garibay.com</t>
  </si>
  <si>
    <t>ec13955e-4ae5-4e40-93e4-236b0eaab336</t>
  </si>
  <si>
    <t>Judith Jos√© Eduardo Zaragoza</t>
  </si>
  <si>
    <t>gutierrezarturo@medina-vasquez.com</t>
  </si>
  <si>
    <t>6a60671f-259c-41c8-b7d6-e1848e4ca004</t>
  </si>
  <si>
    <t>Pamela Dalia Hinojosa</t>
  </si>
  <si>
    <t>matiasmiguel@gmail.com</t>
  </si>
  <si>
    <t>402dc8b0-1539-48cc-8e45-054961cea52f</t>
  </si>
  <si>
    <t>Ivonne Olivia Cazares</t>
  </si>
  <si>
    <t>nnegron@valles-ulloa.net</t>
  </si>
  <si>
    <t>1d2a3f24-e05a-4249-8b6d-8695ae2cf4c0</t>
  </si>
  <si>
    <t>Omar Alicia Mendoza Barrientos</t>
  </si>
  <si>
    <t>jacobo82@gmail.com</t>
  </si>
  <si>
    <t>67b34291-ecc9-476a-bf0b-8643f28dc5e3</t>
  </si>
  <si>
    <t>Salvador Bahena</t>
  </si>
  <si>
    <t>marisela80@gmail.com</t>
  </si>
  <si>
    <t>d7706a15-f812-457c-8d85-83d2a2d32412</t>
  </si>
  <si>
    <t>Lic. Celia Madrid</t>
  </si>
  <si>
    <t>canalesjose-maria@industrias.com</t>
  </si>
  <si>
    <t>d316fe37-6f89-4145-b9d0-9c1a80acf0c5</t>
  </si>
  <si>
    <t>Sonia Nancy Burgos</t>
  </si>
  <si>
    <t>israel86@hotmail.com</t>
  </si>
  <si>
    <t>ffc0eaa2-dede-4a7c-951e-989249dddf91</t>
  </si>
  <si>
    <t>Samuel Alonzo</t>
  </si>
  <si>
    <t>hernandesjos@laboratorios.com</t>
  </si>
  <si>
    <t>fc5fb02d-66ba-4eb7-8c96-53c743ac52e7</t>
  </si>
  <si>
    <t>Ing. Rosa God√≠nez</t>
  </si>
  <si>
    <t>eloytellez@badillo.com</t>
  </si>
  <si>
    <t>c2fdb9cb-b220-4f3e-952f-61a657955f70</t>
  </si>
  <si>
    <t>√Ångel Bruno Pe√±a Ulibarri</t>
  </si>
  <si>
    <t>enriquepulido@yahoo.com</t>
  </si>
  <si>
    <t>9929413b-4955-42b3-b759-d93919a6a2c6</t>
  </si>
  <si>
    <t>Cecilia Abelardo Soto Quintana</t>
  </si>
  <si>
    <t>mariselapalomo@gmail.com</t>
  </si>
  <si>
    <t>36802342-00cd-4228-8e94-cc30c83b0652</t>
  </si>
  <si>
    <t>Sr(a). Marisol Mota</t>
  </si>
  <si>
    <t>barbara08@hotmail.com</t>
  </si>
  <si>
    <t>c7d6ecb9-b4e6-44ac-bf56-caf4c24db02f</t>
  </si>
  <si>
    <t>Horacio Emilio Espinosa Padr√≥n</t>
  </si>
  <si>
    <t>marcosarmendariz@yahoo.com</t>
  </si>
  <si>
    <t>93adef20-4cdb-4207-bbba-d4412eb8840b</t>
  </si>
  <si>
    <t>Ignacio Guzm√°n Borrego</t>
  </si>
  <si>
    <t>rolandorendon@proyectos.com</t>
  </si>
  <si>
    <t>fd338d3a-d67f-4c10-bd09-55bbc6c310d1</t>
  </si>
  <si>
    <t>Uriel Tafoya Lucio</t>
  </si>
  <si>
    <t>reynaldo40@hotmail.com</t>
  </si>
  <si>
    <t>89765ca7-1472-4672-b556-1f836ca9eae7</t>
  </si>
  <si>
    <t>Salma Vega</t>
  </si>
  <si>
    <t>florencia80@urrutia.info</t>
  </si>
  <si>
    <t>01e64b83-374e-4aac-8ea2-166257f545a7</t>
  </si>
  <si>
    <t>Agust√≠n Dalia Rojo</t>
  </si>
  <si>
    <t>natalia46@baeza-gurule.org</t>
  </si>
  <si>
    <t>c0cd7087-1cf5-4a4a-88c0-5880b8793c33</t>
  </si>
  <si>
    <t>Salma Rosas Pedroza</t>
  </si>
  <si>
    <t>ana04@corporacin.com</t>
  </si>
  <si>
    <t>21abf1f9-c019-42cc-a2fd-e17bdaa99242</t>
  </si>
  <si>
    <t>Jaime Esmeralda M√°rquez Ayala</t>
  </si>
  <si>
    <t>teresasantiago@proyectos.org</t>
  </si>
  <si>
    <t>6eb13480-9450-4caa-8024-32e6e36c12ab</t>
  </si>
  <si>
    <t>Concepci√≥n Colunga</t>
  </si>
  <si>
    <t>silvanozavala@gmail.com</t>
  </si>
  <si>
    <t>b1d25534-830a-470d-a41f-2a8ac404b047</t>
  </si>
  <si>
    <t>Mtro. Mar√≠a Cristina Bernal</t>
  </si>
  <si>
    <t>raquelhernandez@yahoo.com</t>
  </si>
  <si>
    <t>9fea2180-a947-4e2f-b6c9-5371f9bac38e</t>
  </si>
  <si>
    <t>Miguel Mariana Murillo Carrera</t>
  </si>
  <si>
    <t>rubynevarez@hotmail.com</t>
  </si>
  <si>
    <t>46e7ea20-4ea9-4a4d-a9d0-fe7ff0edc16b</t>
  </si>
  <si>
    <t>Guadalupe Vanesa Navarro</t>
  </si>
  <si>
    <t>reynaangelica@yahoo.com</t>
  </si>
  <si>
    <t>6a4bb496-8bb3-4227-aa74-8a7d94a78dd5</t>
  </si>
  <si>
    <t>Jos√© Manu√©l Lebr√≥n Peralta</t>
  </si>
  <si>
    <t>horacioguajardo@hotmail.com</t>
  </si>
  <si>
    <t>f72dc1de-5d72-4f3f-b45b-348ffb8c50ea</t>
  </si>
  <si>
    <t>Jaqueline D√°vila</t>
  </si>
  <si>
    <t>irizarrymaria-teresa@gmail.com</t>
  </si>
  <si>
    <t>102c4aaf-9bcf-4c52-b93a-cf8ec01c2ab6</t>
  </si>
  <si>
    <t>Fabiola Tamayo</t>
  </si>
  <si>
    <t>pespinosa@hotmail.com</t>
  </si>
  <si>
    <t>ea922216-7953-46a5-b039-73b0459c6adf</t>
  </si>
  <si>
    <t>Dr. Sessa Barrag√°n</t>
  </si>
  <si>
    <t>gmonroy@yahoo.com</t>
  </si>
  <si>
    <t>b1db7db2-5c54-40de-8504-0fd6675da8c4</t>
  </si>
  <si>
    <t>Ilse Lozada</t>
  </si>
  <si>
    <t>mateomauricio@garica.org</t>
  </si>
  <si>
    <t>cebd42be-c5fb-495b-b850-22b67d7d538d</t>
  </si>
  <si>
    <t>Francisco Vald√©s Becerra</t>
  </si>
  <si>
    <t>adannoriega@melgar-rico.info</t>
  </si>
  <si>
    <t>67cc5c65-25a9-43f0-a481-eb602e83758e</t>
  </si>
  <si>
    <t>Sergio Vel√°squez</t>
  </si>
  <si>
    <t>bserrano@hotmail.com</t>
  </si>
  <si>
    <t>89938fb6-bb60-475d-8eb2-dfedd5f150fe</t>
  </si>
  <si>
    <t>Mtro. Rodolfo Maga√±a</t>
  </si>
  <si>
    <t>gloria78@tello.org</t>
  </si>
  <si>
    <t>5c34f35e-07c8-42f7-9b9a-3bcaed3fe12c</t>
  </si>
  <si>
    <t>Pedro √ìliver de la Rosa</t>
  </si>
  <si>
    <t>aldonza88@hotmail.com</t>
  </si>
  <si>
    <t>3e1cb7d4-91f8-411b-bc26-a8e0b4391db9</t>
  </si>
  <si>
    <t>Mtro. Dulce Mar√≠a Amador</t>
  </si>
  <si>
    <t>avazquez@corporacin.com</t>
  </si>
  <si>
    <t>e293657e-9d00-4bb4-a00b-b178850a3ccc</t>
  </si>
  <si>
    <t>Elias Mar√≠a Elena Arenas Ocasio</t>
  </si>
  <si>
    <t>joaquinbriseno@morales.com</t>
  </si>
  <si>
    <t>6ad9efba-ddc4-4d96-8495-584d4bb26f20</t>
  </si>
  <si>
    <t>Isabela Magdalena Mascare√±as L√≥pez</t>
  </si>
  <si>
    <t>maria-cristina19@prado-segura.com</t>
  </si>
  <si>
    <t>2a063e75-ca9c-4adb-b9b6-54a80b4e0078</t>
  </si>
  <si>
    <t>Rub√©n Irizarry Rold√°n</t>
  </si>
  <si>
    <t>surbina@chavez-pacheco.com</t>
  </si>
  <si>
    <t>4314e54c-5647-4bc0-9804-307229669994</t>
  </si>
  <si>
    <t>Mtro. Vanesa Carrera</t>
  </si>
  <si>
    <t>leticia11@hotmail.com</t>
  </si>
  <si>
    <t>9bcb4a05-0683-4847-aadc-b955ee3775a4</t>
  </si>
  <si>
    <t>Aurora Armenta</t>
  </si>
  <si>
    <t>mireleslourdes@yahoo.com</t>
  </si>
  <si>
    <t>d955fcfb-9a73-4a28-9931-b2f8a50846b1</t>
  </si>
  <si>
    <t>Leticia Alba</t>
  </si>
  <si>
    <t>abelardo96@gmail.com</t>
  </si>
  <si>
    <t>7cfc5646-ee03-43c0-9218-196b1d77162a</t>
  </si>
  <si>
    <t>Ing. Daniel Leyva</t>
  </si>
  <si>
    <t>talvarez@saavedra-amaya.info</t>
  </si>
  <si>
    <t>5e633cdc-c67a-440a-87f3-4972f2d004ac</t>
  </si>
  <si>
    <t>Gabino Mar√≠a Eugenia Garc√≠a</t>
  </si>
  <si>
    <t>wgiron@burgos-sisneros.com</t>
  </si>
  <si>
    <t>a135de6f-9fab-4ce0-843f-2cfd1eebc422</t>
  </si>
  <si>
    <t>Ing. Aurelio Sanabria</t>
  </si>
  <si>
    <t>saenzeva@carrion-escamilla.net</t>
  </si>
  <si>
    <t>2c03bec6-97ff-4eed-9ab3-48894b938d1c</t>
  </si>
  <si>
    <t>Hern√°n Angulo Ulibarri</t>
  </si>
  <si>
    <t>nelly89@yahoo.com</t>
  </si>
  <si>
    <t>d0dda286-bcb5-4649-a635-e4247f6a35d8</t>
  </si>
  <si>
    <t>Ing. Guillermo Merino</t>
  </si>
  <si>
    <t>serafinsanches@lugo.com</t>
  </si>
  <si>
    <t>55c662be-f3d2-40c4-ba87-75f3a5b76faf</t>
  </si>
  <si>
    <t>Norma √Åvila</t>
  </si>
  <si>
    <t>emoya@hotmail.com</t>
  </si>
  <si>
    <t>fbdb0e9b-584d-4085-8bf9-8d372b99ebfb</t>
  </si>
  <si>
    <t>Mar√≠a Luisa Roberto Holgu√≠n Zelaya</t>
  </si>
  <si>
    <t>trinidadguillen@yahoo.com</t>
  </si>
  <si>
    <t>3ce15a6c-2825-434c-ad46-cd79f4bc2381</t>
  </si>
  <si>
    <t>Mar√≠a D√≠az</t>
  </si>
  <si>
    <t>qde-jesus@cazares-tamez.biz</t>
  </si>
  <si>
    <t>9a041544-4b70-4ae4-9dee-985076c979eb</t>
  </si>
  <si>
    <t>Nelly Arce</t>
  </si>
  <si>
    <t>rodrigoalcantar@hotmail.com</t>
  </si>
  <si>
    <t>df4cc62b-b7d8-4963-99ea-48fe79203fbe</t>
  </si>
  <si>
    <t>Antonia Martha Esparza</t>
  </si>
  <si>
    <t>espinoelena@yahoo.com</t>
  </si>
  <si>
    <t>85c98452-482f-4a08-b9eb-a1cf145ad831</t>
  </si>
  <si>
    <t>Estela Ver√≥nica Avil√©s</t>
  </si>
  <si>
    <t>ucisneros@hotmail.com</t>
  </si>
  <si>
    <t>77c7a554-42e9-435e-b1af-df86b0f8167f</t>
  </si>
  <si>
    <t>Seraf√≠n Dulce Mar√≠a Vargas</t>
  </si>
  <si>
    <t>mauricio18@yahoo.com</t>
  </si>
  <si>
    <t>56e3bed1-3ae7-459a-95b0-7637859d3f76</t>
  </si>
  <si>
    <t>Mtro. Citlali Aguayo</t>
  </si>
  <si>
    <t>micaela55@yahoo.com</t>
  </si>
  <si>
    <t>884ce8a6-a2df-426e-b152-a3a8cca48ac2</t>
  </si>
  <si>
    <t>Lic. Frida Pati√±o</t>
  </si>
  <si>
    <t>wcruz@proyectos.com</t>
  </si>
  <si>
    <t>5ea8d6a3-3c14-4c58-91c5-b2ce7b7b435a</t>
  </si>
  <si>
    <t>Wendolin Vallejo Bueno</t>
  </si>
  <si>
    <t>carreraofelia@gmail.com</t>
  </si>
  <si>
    <t>47707a3f-9323-4d55-944e-bc1bd0981b5d</t>
  </si>
  <si>
    <t>Marcos Ruby Mateo Quiroz</t>
  </si>
  <si>
    <t>juancazares@juarez.com</t>
  </si>
  <si>
    <t>92b45d23-a69f-49fa-84fe-45e1c5d428e3</t>
  </si>
  <si>
    <t>Mtro. Delia Medrano</t>
  </si>
  <si>
    <t>zarateabril@club.org</t>
  </si>
  <si>
    <t>b89c9db5-89fd-4f46-92e3-9846d55a78cf</t>
  </si>
  <si>
    <t>Jos√© Eduardo Jer√≥nimo Montoya Loera</t>
  </si>
  <si>
    <t>genaroescobedo@castro-alonzo.com</t>
  </si>
  <si>
    <t>99993024-cdc4-433a-bc86-99d1960cf2a9</t>
  </si>
  <si>
    <t>Ricardo Bruno B√°ez</t>
  </si>
  <si>
    <t>teodoro81@hotmail.com</t>
  </si>
  <si>
    <t>c3a1ef5f-f105-4822-9c72-844ed7b0298f</t>
  </si>
  <si>
    <t>Mar√≠a del Carmen √ìliver Calder√≥n</t>
  </si>
  <si>
    <t>cepedafelix@yahoo.com</t>
  </si>
  <si>
    <t>1fd8b779-9173-420c-b04e-89c7391c69a8</t>
  </si>
  <si>
    <t>Gustavo Aldonza Nazario Granado</t>
  </si>
  <si>
    <t>del-riokarla@cisneros.org</t>
  </si>
  <si>
    <t>0863774e-d706-46c8-a6ec-13da6cff2aed</t>
  </si>
  <si>
    <t>Elvira Figueroa Fuentes</t>
  </si>
  <si>
    <t>victor16@gmail.com</t>
  </si>
  <si>
    <t>e5ed9d85-b980-4269-aaf2-f370cb138032</t>
  </si>
  <si>
    <t>Cristina Urbina</t>
  </si>
  <si>
    <t>elsaleal@arias.com</t>
  </si>
  <si>
    <t>0e9b8d25-5a04-4737-8386-12ae6d3bfcb0</t>
  </si>
  <si>
    <t>Horacio Victoria Quiroz</t>
  </si>
  <si>
    <t>dianasalazar@laboratorios.biz</t>
  </si>
  <si>
    <t>d49cecb5-d5f1-4242-84fa-895e2d538ed5</t>
  </si>
  <si>
    <t>Benito Lucio Iglesias</t>
  </si>
  <si>
    <t>carbajalnatalia@industrias.com</t>
  </si>
  <si>
    <t>e2e5df9e-ce8b-40e6-9eed-af6f6afbf580</t>
  </si>
  <si>
    <t>Amanda Mariana Verduzco</t>
  </si>
  <si>
    <t>veronica31@gmail.com</t>
  </si>
  <si>
    <t>ac35ebfc-2fef-4aca-8a06-c9547d41dd8a</t>
  </si>
  <si>
    <t>Norma Paulina Qui√±ones</t>
  </si>
  <si>
    <t>bespino@rojo.com</t>
  </si>
  <si>
    <t>30208b2a-0356-49da-b9b5-5dadc87e2157</t>
  </si>
  <si>
    <t>Lic. Yuridia Rivas</t>
  </si>
  <si>
    <t>samuel60@garica.biz</t>
  </si>
  <si>
    <t>0063b295-8de8-42db-a280-53ce8abd64d5</t>
  </si>
  <si>
    <t>Ignacio Genaro Varela</t>
  </si>
  <si>
    <t>ricardoloera@torres-medina.com</t>
  </si>
  <si>
    <t>ffe80953-b756-448f-ad50-9fbbf034b1a3</t>
  </si>
  <si>
    <t>Jaqueline Juan Osorio</t>
  </si>
  <si>
    <t>banuelosdalia@alonzo-ulibarri.info</t>
  </si>
  <si>
    <t>07ad1313-5817-452d-ae83-9deb77f566ff</t>
  </si>
  <si>
    <t>D√©bora Uriel Montez</t>
  </si>
  <si>
    <t>sepulvedaalejandra@industrias.com</t>
  </si>
  <si>
    <t>be204235-85bb-4fe8-9216-a9791c716831</t>
  </si>
  <si>
    <t>Mariana Navarrete</t>
  </si>
  <si>
    <t>tgurule@hotmail.com</t>
  </si>
  <si>
    <t>1d192c49-58cc-4355-8ae6-4fc5be821369</t>
  </si>
  <si>
    <t>Dr. Guillermina Pedroza</t>
  </si>
  <si>
    <t>phernandes@hotmail.com</t>
  </si>
  <si>
    <t>b1c04b5c-3ca0-4299-a95b-4cc9fd47e5c3</t>
  </si>
  <si>
    <t>Israel Anabel Merino</t>
  </si>
  <si>
    <t>zbarreto@yahoo.com</t>
  </si>
  <si>
    <t>55a12788-e321-4656-adc6-1c4b1c4fb82d</t>
  </si>
  <si>
    <t>Jos√© Mar√≠a Vergara</t>
  </si>
  <si>
    <t>fordonez@hotmail.com</t>
  </si>
  <si>
    <t>c069967b-0651-485e-806a-1c2453c8e423</t>
  </si>
  <si>
    <t>Itzel Saiz Santiago</t>
  </si>
  <si>
    <t>arellanoitzel@grupo.com</t>
  </si>
  <si>
    <t>d1786d96-57f5-4220-90b3-218a529c8cc6</t>
  </si>
  <si>
    <t>Guadalupe Juan Armas Montes</t>
  </si>
  <si>
    <t>aurelio97@gmail.com</t>
  </si>
  <si>
    <t>3db9364c-36cf-4bf0-94b1-afc28a4e7da5</t>
  </si>
  <si>
    <t>Isaac Reina Nieto</t>
  </si>
  <si>
    <t>angela19@gmail.com</t>
  </si>
  <si>
    <t>ab493d65-9af2-465e-9886-dbff53ffd8a3</t>
  </si>
  <si>
    <t>Leonor Mar√≠a Luisa Calder√≥n Negr√≥n</t>
  </si>
  <si>
    <t>kalmanza@yahoo.com</t>
  </si>
  <si>
    <t>4fd78018-da91-4f39-9975-a34231cffcba</t>
  </si>
  <si>
    <t>Amelia Hilda Reyes</t>
  </si>
  <si>
    <t>tejadauriel@hotmail.com</t>
  </si>
  <si>
    <t>0d39987c-fdfb-4ae0-a487-86b097bcd57d</t>
  </si>
  <si>
    <t>√Ångel Echeverr√≠a</t>
  </si>
  <si>
    <t>bmenchaca@pulido-estrada.biz</t>
  </si>
  <si>
    <t>d8d9e077-3fb8-4ad4-b860-e6a47239634d</t>
  </si>
  <si>
    <t>Mercedes Sessa Valladares</t>
  </si>
  <si>
    <t>martin12@yahoo.com</t>
  </si>
  <si>
    <t>0b7f03ef-aac2-4547-b835-a7f3a3348e06</t>
  </si>
  <si>
    <t>Lic. √ìscar Valenzuela</t>
  </si>
  <si>
    <t>genaro55@yahoo.com</t>
  </si>
  <si>
    <t>8d3b7c03-8540-49a4-a954-d8b7b6b2fa06</t>
  </si>
  <si>
    <t>Julia Dulce Mar√≠a Rodarte Dur√°n</t>
  </si>
  <si>
    <t>ilsebriseno@proyectos.com</t>
  </si>
  <si>
    <t>b2d5a4a0-38d6-4f4e-beee-12c24b103604</t>
  </si>
  <si>
    <t>Elvia Mariano Rend√≥n Coronado</t>
  </si>
  <si>
    <t>cabannayeli@despacho.org</t>
  </si>
  <si>
    <t>4d127c49-b5bc-4cbb-a0a0-ccd12275f405</t>
  </si>
  <si>
    <t>Anabel Susana Villalpando Huerta</t>
  </si>
  <si>
    <t>lourdesbeltran@hotmail.com</t>
  </si>
  <si>
    <t>b6a7e9ca-6e44-4a2d-b6ba-e7c65710b065</t>
  </si>
  <si>
    <t>Liliana Ur√≠as Velasco</t>
  </si>
  <si>
    <t>amadrid@despacho.biz</t>
  </si>
  <si>
    <t>eeed2640-7588-4324-ae74-fb40227005b9</t>
  </si>
  <si>
    <t>Jon√°s Osorio</t>
  </si>
  <si>
    <t>josefina80@hotmail.com</t>
  </si>
  <si>
    <t>7bfb5106-b10b-44e9-8093-4df0ba80e372</t>
  </si>
  <si>
    <t>Sr(a). Juana Negrete</t>
  </si>
  <si>
    <t>arandateresa@frias-santillan.com</t>
  </si>
  <si>
    <t>93708c46-9f11-459e-baaa-d1222d691d65</t>
  </si>
  <si>
    <t>Ana Mar√≠a Hidalgo Razo</t>
  </si>
  <si>
    <t>gustavoozuna@yahoo.com</t>
  </si>
  <si>
    <t>1c9a7d40-c4aa-47ee-b862-881e78aebdcd</t>
  </si>
  <si>
    <t>Eugenio Lourdes Portillo Olvera</t>
  </si>
  <si>
    <t>marinlourdes@rangel.com</t>
  </si>
  <si>
    <t>6a4f1549-65b1-4c76-9fc9-eb216605d11b</t>
  </si>
  <si>
    <t>Patricia Santana</t>
  </si>
  <si>
    <t>lilianatamayo@proyectos.info</t>
  </si>
  <si>
    <t>4f50dcb6-7cbd-478c-baf6-9689eb8eab31</t>
  </si>
  <si>
    <t>Alfredo Lerma</t>
  </si>
  <si>
    <t>gironabelardo@gmail.com</t>
  </si>
  <si>
    <t>c757a287-6f17-4368-b595-ae2d6879f392</t>
  </si>
  <si>
    <t>Dr. Ram√≥n Reyes</t>
  </si>
  <si>
    <t>hilda07@gmail.com</t>
  </si>
  <si>
    <t>26797519-98dd-42f4-8c83-b6e7fadde63a</t>
  </si>
  <si>
    <t>Jos Bernab√© Osorio</t>
  </si>
  <si>
    <t>abrilluna@yahoo.com</t>
  </si>
  <si>
    <t>61f84332-1ec2-4e0d-a005-9d6532dfe8b6</t>
  </si>
  <si>
    <t>Armando Paola Tejeda Reynoso</t>
  </si>
  <si>
    <t>felixgastelum@chavez-rosario.com</t>
  </si>
  <si>
    <t>6b36097a-158e-4b1e-8cb1-944c9ce34b4a</t>
  </si>
  <si>
    <t>Mar√≠a Elena Guajardo Serna</t>
  </si>
  <si>
    <t>irmacarranza@yahoo.com</t>
  </si>
  <si>
    <t>fd8576ca-69cb-45d0-93ae-3ce2a9dce766</t>
  </si>
  <si>
    <t>Alicia Barela</t>
  </si>
  <si>
    <t>rosascristina@club.com</t>
  </si>
  <si>
    <t>dcdc9582-af1b-48f9-9862-62eff619038d</t>
  </si>
  <si>
    <t>Mitzy Fidel Aguirre Barrag√°n</t>
  </si>
  <si>
    <t>bmatos@hotmail.com</t>
  </si>
  <si>
    <t>32258448-6b2d-4224-a41c-d14a47992b1d</t>
  </si>
  <si>
    <t>Dr. Juan Aranda</t>
  </si>
  <si>
    <t>angelavalenzuela@hotmail.com</t>
  </si>
  <si>
    <t>8d289647-c833-4bdd-9d10-71a2f5a73822</t>
  </si>
  <si>
    <t>Luc√≠a Patricia Ybarra Segovia</t>
  </si>
  <si>
    <t>rolando29@alcantar.com</t>
  </si>
  <si>
    <t>afb698db-e120-4b30-95a6-9232db712b80</t>
  </si>
  <si>
    <t>Yolanda Emilio Mar√≠n Arenas</t>
  </si>
  <si>
    <t>bsalgado@hotmail.com</t>
  </si>
  <si>
    <t>503faa4c-b2dd-4a4c-83f9-fae7ecfc966c</t>
  </si>
  <si>
    <t>Cristian God√≠nez</t>
  </si>
  <si>
    <t>jruelas@hotmail.com</t>
  </si>
  <si>
    <t>9c256de2-6001-4873-beef-336a82436867</t>
  </si>
  <si>
    <t>Isaac Ignacio Ben√≠tez</t>
  </si>
  <si>
    <t>nicolas25@gmail.com</t>
  </si>
  <si>
    <t>e2aaad5e-d941-478c-b128-021e21417ee5</t>
  </si>
  <si>
    <t>Rolando Guti√©rrez Barrera</t>
  </si>
  <si>
    <t>perezvictoria@barela.com</t>
  </si>
  <si>
    <t>619f05ab-6826-42c6-a241-6073b5679aad</t>
  </si>
  <si>
    <t>Mitzy Adame Tafoya</t>
  </si>
  <si>
    <t>trujilloluz@botello-cepeda.com</t>
  </si>
  <si>
    <t>0209ebb3-9a7f-4e7c-8172-ecbf898f89e8</t>
  </si>
  <si>
    <t>Anabel Graciela Orta Lim√≥n</t>
  </si>
  <si>
    <t>gtoro@ordonez.com</t>
  </si>
  <si>
    <t>db9595ea-f739-4781-a02a-e17561575f0a</t>
  </si>
  <si>
    <t>Ivonne In√©s Solorzano</t>
  </si>
  <si>
    <t>alcantarconcepcion@yahoo.com</t>
  </si>
  <si>
    <t>a9080111-fd89-4e06-96e1-327168122bd3</t>
  </si>
  <si>
    <t>Gonzalo Leonel Pulido</t>
  </si>
  <si>
    <t>wilfrido32@corporacin.com</t>
  </si>
  <si>
    <t>5a8a2ee8-3161-4250-96ee-39982c89933d</t>
  </si>
  <si>
    <t>Francisco Javier Mitzy Zedillo</t>
  </si>
  <si>
    <t>teodoro92@despacho.com</t>
  </si>
  <si>
    <t>2ec74e7f-5da0-49a5-b478-4adfba45fdd6</t>
  </si>
  <si>
    <t>Ing. Gilberto Granados</t>
  </si>
  <si>
    <t>maria-elenapartida@yahoo.com</t>
  </si>
  <si>
    <t>bb041e3e-efa8-46cc-b7a3-9b103ff31b8a</t>
  </si>
  <si>
    <t>Diego Abigail Henr√≠quez</t>
  </si>
  <si>
    <t>archuletafrancisca@gmail.com</t>
  </si>
  <si>
    <t>1a445c40-669c-4d48-9f7e-e41b2c6006d6</t>
  </si>
  <si>
    <t>Mtro. Miriam Rosales</t>
  </si>
  <si>
    <t>carbajalalma@gmail.com</t>
  </si>
  <si>
    <t>2fe40e73-e64d-4041-8cab-8d5839371f3e</t>
  </si>
  <si>
    <t>Eugenia Franco</t>
  </si>
  <si>
    <t>ramirezcornelio@hotmail.com</t>
  </si>
  <si>
    <t>ea9a5757-0b3d-4e68-a589-fa1e990cd6ce</t>
  </si>
  <si>
    <t>Estela G√≥mez Monta√±ez</t>
  </si>
  <si>
    <t>armentajorge@industrias.com</t>
  </si>
  <si>
    <t>35f1d04b-c1d9-4983-9fa7-6f9262ea97cc</t>
  </si>
  <si>
    <t>Humberto Benavides</t>
  </si>
  <si>
    <t>zacarias94@padron-holguin.com</t>
  </si>
  <si>
    <t>4473f6a9-94d1-4880-bb1c-9090765954e5</t>
  </si>
  <si>
    <t>Agust√≠n Alba</t>
  </si>
  <si>
    <t>portillocaridad@gmail.com</t>
  </si>
  <si>
    <t>1e6eeb8f-b60f-44ee-ba31-3a83169211cc</t>
  </si>
  <si>
    <t>Maximiliano Pizarro Escamilla</t>
  </si>
  <si>
    <t>marianollamas@hotmail.com</t>
  </si>
  <si>
    <t>3e03b8c9-f4af-4cc6-9900-836221bba3da</t>
  </si>
  <si>
    <t>Eric Yolanda Saldivar</t>
  </si>
  <si>
    <t>estela77@hotmail.com</t>
  </si>
  <si>
    <t>15e836b2-b0d6-4cf5-8d89-60e52bb5cf43</t>
  </si>
  <si>
    <t>Sr(a). Josefina Varela</t>
  </si>
  <si>
    <t>hcarbajal@laboratorios.org</t>
  </si>
  <si>
    <t>591e6a00-aa0b-4b7e-b547-bcc9b6807a94</t>
  </si>
  <si>
    <t>Daniel Trevi√±o Almaraz</t>
  </si>
  <si>
    <t>amelia73@yahoo.com</t>
  </si>
  <si>
    <t>04587e83-9d1b-4d06-bd12-0b5cc9b5f549</t>
  </si>
  <si>
    <t>Bruno Linda Flores</t>
  </si>
  <si>
    <t>jferrer@despacho.net</t>
  </si>
  <si>
    <t>45af360d-59f3-48b1-859a-152f251ca886</t>
  </si>
  <si>
    <t>Ing. Carla Urbina</t>
  </si>
  <si>
    <t>cornejojacobo@mena-valdivia.info</t>
  </si>
  <si>
    <t>fb731060-72a0-4e77-a717-4072694bb2db</t>
  </si>
  <si>
    <t>Sara Naranjo Col√≥n</t>
  </si>
  <si>
    <t>ninojosefina@laboratorios.com</t>
  </si>
  <si>
    <t>6e7f24e8-43fd-4576-b4e4-b3cf8affd7ae</t>
  </si>
  <si>
    <t>Conchita Arteaga</t>
  </si>
  <si>
    <t>umesa@hotmail.com</t>
  </si>
  <si>
    <t>52debf9b-2206-4dc5-b40f-22d8df8bf7f0</t>
  </si>
  <si>
    <t>Natividad Balderas</t>
  </si>
  <si>
    <t>socorroarmenta@hotmail.com</t>
  </si>
  <si>
    <t>33abf96f-5053-40a9-926d-c62cf710d5d7</t>
  </si>
  <si>
    <t>Modesto Ricardo Llamas</t>
  </si>
  <si>
    <t>cedillomodesto@yahoo.com</t>
  </si>
  <si>
    <t>bc87e88e-b56e-4324-aa42-315d92301cfa</t>
  </si>
  <si>
    <t>Vanesa Gurule</t>
  </si>
  <si>
    <t>cecilia85@industrias.info</t>
  </si>
  <si>
    <t>ec311ea5-7cca-4497-a38f-d5ca91fc4a16</t>
  </si>
  <si>
    <t>Blanca Acosta</t>
  </si>
  <si>
    <t>jimenezesmeralda@yahoo.com</t>
  </si>
  <si>
    <t>0fd63ae6-044a-43d2-a798-092f0a9ca3ab</t>
  </si>
  <si>
    <t>Ang√©lica Berta Alem√°n</t>
  </si>
  <si>
    <t>leonardo19@laboratorios.com</t>
  </si>
  <si>
    <t>214a4b85-cfb9-4315-8151-787c0f67ac19</t>
  </si>
  <si>
    <t>Trinidad Sep√∫lveda Venegas</t>
  </si>
  <si>
    <t>emilianotamez@muro-ponce.org</t>
  </si>
  <si>
    <t>5e889b8b-72a8-43b0-adf0-70b8e27e0baf</t>
  </si>
  <si>
    <t>Daniel Flores</t>
  </si>
  <si>
    <t>tomasvalenzuela@gmail.com</t>
  </si>
  <si>
    <t>e87c0e21-81f4-41b3-bbc0-ecc860e4a4f1</t>
  </si>
  <si>
    <t>Irene Murillo Cano</t>
  </si>
  <si>
    <t>raquelelizondo@olmos-chavez.info</t>
  </si>
  <si>
    <t>5c67b9e8-ef45-4f3e-a2ed-49d3f39d1149</t>
  </si>
  <si>
    <t>Sr(a). Rosalia Carbajal</t>
  </si>
  <si>
    <t>sanabriaernesto@ybarra-bravo.net</t>
  </si>
  <si>
    <t>57dd5a1f-543e-405f-a66c-d3440caa7883</t>
  </si>
  <si>
    <t>Ana Luisa Garrido Camarillo</t>
  </si>
  <si>
    <t>moracamilo@yahoo.com</t>
  </si>
  <si>
    <t>971ada99-0410-407e-9f75-9c8d5be19858</t>
  </si>
  <si>
    <t>Adriana Qui√±ones</t>
  </si>
  <si>
    <t>riveradebora@zepeda.com</t>
  </si>
  <si>
    <t>fb386644-251f-41d5-9aa5-0effa6575ab7</t>
  </si>
  <si>
    <t>Ram√≥n Ruby Sol√≠s</t>
  </si>
  <si>
    <t>nvalle@proyectos.info</t>
  </si>
  <si>
    <t>698397cd-f3c5-42b9-8ee7-675e5ac6dcaa</t>
  </si>
  <si>
    <t>Julio C√©sar Hinojosa Carri√≥n</t>
  </si>
  <si>
    <t>gloria26@gmail.com</t>
  </si>
  <si>
    <t>be31e53e-d5d8-4a44-a252-aa621bcd0ceb</t>
  </si>
  <si>
    <t>Clara Maximiliano Samaniego Lebr√≥n</t>
  </si>
  <si>
    <t>esther23@hotmail.com</t>
  </si>
  <si>
    <t>b122bc72-7239-44b5-a84c-5afb4963ef9d</t>
  </si>
  <si>
    <t>Ing. Lucas Mendoza</t>
  </si>
  <si>
    <t>ypadron@proyectos.com</t>
  </si>
  <si>
    <t>469f8a63-5545-411e-bc81-bc156cf61fd4</t>
  </si>
  <si>
    <t>Micaela Santacruz</t>
  </si>
  <si>
    <t>hbarela@gmail.com</t>
  </si>
  <si>
    <t>7b2e59df-2c66-40f3-a7c7-a4cc494f7f5e</t>
  </si>
  <si>
    <t>Marcela Micaela de la Garza Alarc√≥n</t>
  </si>
  <si>
    <t>velazquezjos@gmail.com</t>
  </si>
  <si>
    <t>28276074-9e08-4dbc-9f92-a0e62c97932d</t>
  </si>
  <si>
    <t>Mtro. Mar√≠a Luisa Benavides</t>
  </si>
  <si>
    <t>ana-maria86@laboratorios.biz</t>
  </si>
  <si>
    <t>445ea43e-bacc-4f11-b46f-c0f73b30a387</t>
  </si>
  <si>
    <t>Alonso √örsula Ord√≥√±ez Quezada</t>
  </si>
  <si>
    <t>mendozarenato@gmail.com</t>
  </si>
  <si>
    <t>92474c1b-8e9f-4328-9dba-0478c7b8eff7</t>
  </si>
  <si>
    <t>Mar√≠a Cristina de la Cr√∫z</t>
  </si>
  <si>
    <t>marisela52@laboratorios.info</t>
  </si>
  <si>
    <t>5c8c2dfc-51fd-4224-a71e-92d06b2b0fa1</t>
  </si>
  <si>
    <t xml:space="preserve">Tablet-Mini-4GB </t>
  </si>
  <si>
    <t>Jes√∫s Arce Valles</t>
  </si>
  <si>
    <t>cabanaraceli@despacho.org</t>
  </si>
  <si>
    <t>32d07aeb-5e62-4984-b015-b54c974f9568</t>
  </si>
  <si>
    <t>Espartaco Jos√© Eduardo Zayas</t>
  </si>
  <si>
    <t>bustosclemente@quinones-carreon.com</t>
  </si>
  <si>
    <t>d67ed293-5149-4284-baa6-032c288347c3</t>
  </si>
  <si>
    <t>Jos√© Urrutia</t>
  </si>
  <si>
    <t>santiagorodriquez@despacho.com</t>
  </si>
  <si>
    <t>6150fdc0-97c3-4c8a-9865-22d23587632f</t>
  </si>
  <si>
    <t>Florencia Viera</t>
  </si>
  <si>
    <t>nataliamaestas@yahoo.com</t>
  </si>
  <si>
    <t>c18afb66-4e4c-4a10-8418-cc817467cd65</t>
  </si>
  <si>
    <t>Felipe Fuentes Loera</t>
  </si>
  <si>
    <t>silvia37@yahoo.com</t>
  </si>
  <si>
    <t>96733b38-2406-4c1b-a994-b0ac17d42098</t>
  </si>
  <si>
    <t>Leonardo Griego</t>
  </si>
  <si>
    <t>quinonesleonardo@industrias.com</t>
  </si>
  <si>
    <t>f31c900d-f7f8-4aa9-8044-9fceda063770</t>
  </si>
  <si>
    <t>Francisca Norma Valle Lozada</t>
  </si>
  <si>
    <t>joaquin53@yahoo.com</t>
  </si>
  <si>
    <t>7570252f-383e-4b44-92de-ec6fa27e5c27</t>
  </si>
  <si>
    <t>Olga Delgadillo</t>
  </si>
  <si>
    <t>acasas@yahoo.com</t>
  </si>
  <si>
    <t>d99b4d05-4df3-4c9f-a3a3-39f8b9dd5f4b</t>
  </si>
  <si>
    <t>Esperanza √ìscar Zelaya</t>
  </si>
  <si>
    <t>ceciliasaiz@industrias.com</t>
  </si>
  <si>
    <t>e6a2b4de-97d2-4faf-82a6-28b39ab6b1b4</t>
  </si>
  <si>
    <t>Francisco Javier Gustavo Gracia Arteaga</t>
  </si>
  <si>
    <t>saldanawilfrido@grupo.com</t>
  </si>
  <si>
    <t>54e1665d-4b89-4a00-ac21-c0dbd0a9f8e2</t>
  </si>
  <si>
    <t>Eugenia Maga√±a Tejeda</t>
  </si>
  <si>
    <t>paolaverdugo@yanez.com</t>
  </si>
  <si>
    <t>f021cbf0-6ce0-45dd-82d0-c26df5f5cc72</t>
  </si>
  <si>
    <t>Ofelia Duarte</t>
  </si>
  <si>
    <t>elenagallardo@corporacin.com</t>
  </si>
  <si>
    <t>572359f3-27ef-41f5-90d5-4388fd663182</t>
  </si>
  <si>
    <t>Mtro. Marco Antonio Cornejo</t>
  </si>
  <si>
    <t>dibarra@hotmail.com</t>
  </si>
  <si>
    <t>4c951415-a35b-4aaa-9767-bb49b70a1cd4</t>
  </si>
  <si>
    <t>Ing. Wilfrido Arenas</t>
  </si>
  <si>
    <t>wgracia@yahoo.com</t>
  </si>
  <si>
    <t>d00a9636-3e8a-4e5a-be93-4b7605de2c32</t>
  </si>
  <si>
    <t>Elias Jos√© Eduardo Mar√≠n Palomino</t>
  </si>
  <si>
    <t>isabela00@despacho.net</t>
  </si>
  <si>
    <t>74e8a449-803e-4d73-82f1-7db487e8dff0</t>
  </si>
  <si>
    <t>Lic. Abelardo Melgar</t>
  </si>
  <si>
    <t>haroaugusto@saenz.com</t>
  </si>
  <si>
    <t>f3721b83-8d8d-4d6f-8765-534b41a15805</t>
  </si>
  <si>
    <t>Jaqueline Sessa Guti√©rrez</t>
  </si>
  <si>
    <t>escobedogerman@hotmail.com</t>
  </si>
  <si>
    <t>b4ec93f1-1142-488b-8b2b-61eeafdd8adf</t>
  </si>
  <si>
    <t>Dolores Rodolfo Rojas Arellano</t>
  </si>
  <si>
    <t>isabela67@hotmail.com</t>
  </si>
  <si>
    <t>231bf5a4-802c-4e67-87f9-145a7ddc42e3</t>
  </si>
  <si>
    <t>Flavio Iv√°n Casillas</t>
  </si>
  <si>
    <t>sonia90@yahoo.com</t>
  </si>
  <si>
    <t>d2791f68-c024-4553-af35-174d74e629f4</t>
  </si>
  <si>
    <t>Alicia Rosales</t>
  </si>
  <si>
    <t>cochoa@industrias.com</t>
  </si>
  <si>
    <t>cf2331f6-6c22-469f-92b8-831ddcc71327</t>
  </si>
  <si>
    <t>Mtro. Leonardo Orosco</t>
  </si>
  <si>
    <t>santiago26@anaya.com</t>
  </si>
  <si>
    <t>5960a10e-3314-40d0-846b-6eb21cf652c1</t>
  </si>
  <si>
    <t>Julio C√©sar Olivares Matos</t>
  </si>
  <si>
    <t>jacinto25@almanza.com</t>
  </si>
  <si>
    <t>3d38346c-86e1-40f6-996c-c0eaaf43480d</t>
  </si>
  <si>
    <t>Miriam Arcelia Casares</t>
  </si>
  <si>
    <t>reynaldoestevez@club.com</t>
  </si>
  <si>
    <t>0147e75f-4472-491b-8912-4bd7d08758ad</t>
  </si>
  <si>
    <t>Sr(a). Catalina Mat√≠as</t>
  </si>
  <si>
    <t>molinadaniel@aleman.com</t>
  </si>
  <si>
    <t>d433dfae-3ab4-4d09-9f43-eecdb06eb894</t>
  </si>
  <si>
    <t>Pilar Collado</t>
  </si>
  <si>
    <t>qgamboa@gmail.com</t>
  </si>
  <si>
    <t>abd79166-5325-4e3f-92fd-bea6b2eaa389</t>
  </si>
  <si>
    <t>Arcelia Navarrete</t>
  </si>
  <si>
    <t>uperez@hotmail.com</t>
  </si>
  <si>
    <t>67cf0ad8-c53a-447e-84ac-fa1c61feafcc</t>
  </si>
  <si>
    <t>Amalia Soledad Alba Crespo</t>
  </si>
  <si>
    <t>guillerminaborrego@grupo.org</t>
  </si>
  <si>
    <t>a7c8d4b5-9c71-48ec-b135-330a9ff45957</t>
  </si>
  <si>
    <t>Roc√≠o Eugenio Villag√≥mez</t>
  </si>
  <si>
    <t>lorenzo86@cervantes.org</t>
  </si>
  <si>
    <t>a9224dd3-b260-4439-9c91-63c444209873</t>
  </si>
  <si>
    <t>Tania Carrera</t>
  </si>
  <si>
    <t>iquintanilla@hotmail.com</t>
  </si>
  <si>
    <t>d7a87238-7091-401f-a18e-21c1309e9064</t>
  </si>
  <si>
    <t xml:space="preserve">Teléfono-Gama baja-8GB </t>
  </si>
  <si>
    <t>Lic. Ana Mar√≠a N√°jera</t>
  </si>
  <si>
    <t>jacinto89@cadena.com</t>
  </si>
  <si>
    <t>100275b6-8299-499c-9ddf-e472309c9cf0</t>
  </si>
  <si>
    <t>Cristina del R√≠o Longoria</t>
  </si>
  <si>
    <t>olverahelena@yahoo.com</t>
  </si>
  <si>
    <t>daf5edee-c366-417d-9cd7-be77ad5d329a</t>
  </si>
  <si>
    <t>Dr. Carlos Peralta</t>
  </si>
  <si>
    <t>sierraluis-miguel@hotmail.com</t>
  </si>
  <si>
    <t>2f42e9be-b4f9-41cd-9925-02253d8b26bb</t>
  </si>
  <si>
    <t>Lic. Benito Ram√≥n</t>
  </si>
  <si>
    <t>villalobosmaximiliano@laboratorios.com</t>
  </si>
  <si>
    <t>0b90db1b-0e53-4695-b650-7bf4633ec0f6</t>
  </si>
  <si>
    <t>Amanda Gollum</t>
  </si>
  <si>
    <t>agaona@despacho.com</t>
  </si>
  <si>
    <t>caf893af-e7d0-485a-b903-5b6bb7b717d6</t>
  </si>
  <si>
    <t>Norma Mel√©ndez</t>
  </si>
  <si>
    <t>gcaban@laboratorios.net</t>
  </si>
  <si>
    <t>053c462d-890c-45f0-8bb4-0f12c91d58e7</t>
  </si>
  <si>
    <t>Amador Hernandes Men√©ndez</t>
  </si>
  <si>
    <t>calderaamador@mora-anguiano.info</t>
  </si>
  <si>
    <t>b02eb611-668d-4716-946e-2f69918d05a7</t>
  </si>
  <si>
    <t>Alejandro Longoria</t>
  </si>
  <si>
    <t>maria-jose75@grupo.com</t>
  </si>
  <si>
    <t>cc794401-1ded-4891-a6ef-5cdc5b5384d5</t>
  </si>
  <si>
    <t>Amelia Oswaldo Bernal Ni√±o</t>
  </si>
  <si>
    <t>zamoraclaudia@yahoo.com</t>
  </si>
  <si>
    <t>62f7a1a9-7e11-442a-9de5-499e9da93e2f</t>
  </si>
  <si>
    <t>Guillermina Guajardo Griego</t>
  </si>
  <si>
    <t>noelia85@gmail.com</t>
  </si>
  <si>
    <t>0df64a43-b0b9-4928-8b22-58438782855d</t>
  </si>
  <si>
    <t>16/16/2024</t>
  </si>
  <si>
    <t>Florencia Jaramillo</t>
  </si>
  <si>
    <t>trinidadmoya@yahoo.com</t>
  </si>
  <si>
    <t>8f0f8ae1-20a3-4c9d-b76d-f1ebaf765b63</t>
  </si>
  <si>
    <t>Timoteo Alvaro Lemus</t>
  </si>
  <si>
    <t>eveliolara@peres.com</t>
  </si>
  <si>
    <t>ba9d11bd-abcf-425b-a84b-aa0bb71654e0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</si>
  <si>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</si>
  <si>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</si>
  <si>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</si>
  <si>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</si>
  <si>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</si>
  <si>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</si>
  <si>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Tablets (850)</t>
  </si>
  <si>
    <t>Ciudad con las mayores ventas totales</t>
  </si>
  <si>
    <t>Medellin 172</t>
  </si>
  <si>
    <t>Mes con los mejores resultados</t>
  </si>
  <si>
    <t xml:space="preserve">Diciembre </t>
  </si>
  <si>
    <t>Precio promedio por categoría de producto</t>
  </si>
  <si>
    <t>AURICULARES: $1278 - LAPTOP: $1276 - TABLET: $ 1276 - TELEFONO: $1277</t>
  </si>
  <si>
    <t>Resumen ejecutivo</t>
  </si>
  <si>
    <t>Categoría</t>
  </si>
  <si>
    <t>1. Limpieza</t>
  </si>
  <si>
    <t>Cantidad de datos duplicados</t>
  </si>
  <si>
    <t>0 Duplicados</t>
  </si>
  <si>
    <t>Cantidad de filas con valor nulo en la columna `Precio unitario` y `Monto total`</t>
  </si>
  <si>
    <t>Precio Unitario: 12 espacios vacios - Monto total: 7 Espacios Vacios</t>
  </si>
  <si>
    <t>2. Hallazgos principales</t>
  </si>
  <si>
    <t>Producto más vendido por cantidad</t>
  </si>
  <si>
    <t>Tablets</t>
  </si>
  <si>
    <t>Ciudad con mayor volumen de ventas totales</t>
  </si>
  <si>
    <t>Medellin</t>
  </si>
  <si>
    <t>Recomendación</t>
  </si>
  <si>
    <t>Tulum tiene un muy bajo indice de ventas, se recomienda aumentar las estrategias de Marketig en esa zona para ganar confianza y compradores.</t>
  </si>
  <si>
    <t>3. Metodología de limpieza</t>
  </si>
  <si>
    <t>Problemas encontrados en los datos originales.</t>
  </si>
  <si>
    <t>1- Fechas con dispariedad de numeros y letras 2- Datos de ciudad con caracteres diferentes a letras 3- Los precios y totales no estan organizados en moneda ($) 4- Las colunmas estan amontonadas lo que dificulta su lectura</t>
  </si>
  <si>
    <t>4. Limitaciones</t>
  </si>
  <si>
    <t>Información adicional requerida (si aplica)</t>
  </si>
  <si>
    <t>No es crucial para el analisis, pero el metodo de pago es algo que suele agregarse a los datos y aqui faltaba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</si>
</sst>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"/>
    <numFmt numFmtId="165" formatCode="m&quot;/&quot;d&quot;/&quot;yyyy"/>
    <numFmt numFmtId="166" formatCode="&quot;$&quot;#,##0.00"/>
  </numFmts>
  <fonts count="12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color theme="1"/>
      <name val="Arial"/>
    </font>
    <font>
      <b/>
      <color theme="1"/>
      <name val="Aptos Narrow"/>
    </font>
    <font>
      <b/>
      <color theme="1"/>
      <name val="Aptos Narrow"/>
      <scheme val="minor"/>
    </font>
    <font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sz val="12.0"/>
      <color theme="1"/>
      <name val="Arial"/>
    </font>
    <font>
      <b/>
      <sz val="20.0"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165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166" xfId="0" applyFont="1" applyNumberFormat="1"/>
    <xf borderId="0" fillId="0" fontId="5" numFmtId="0" xfId="0" applyFont="1"/>
    <xf borderId="0" fillId="0" fontId="6" numFmtId="165" xfId="0" applyAlignment="1" applyFont="1" applyNumberForma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166" xfId="0" applyFont="1" applyNumberFormat="1"/>
    <xf borderId="0" fillId="0" fontId="6" numFmtId="165" xfId="0" applyFont="1" applyNumberFormat="1"/>
    <xf borderId="0" fillId="0" fontId="7" numFmtId="0" xfId="0" applyFont="1"/>
    <xf borderId="0" fillId="0" fontId="1" numFmtId="11" xfId="0" applyFont="1" applyNumberFormat="1"/>
    <xf borderId="0" fillId="0" fontId="8" numFmtId="166" xfId="0" applyFont="1" applyNumberFormat="1"/>
    <xf borderId="0" fillId="0" fontId="1" numFmtId="165" xfId="0" applyFont="1" applyNumberFormat="1"/>
    <xf borderId="0" fillId="0" fontId="7" numFmtId="165" xfId="0" applyAlignment="1" applyFont="1" applyNumberFormat="1">
      <alignment readingOrder="0"/>
    </xf>
    <xf borderId="0" fillId="0" fontId="7" numFmtId="165" xfId="0" applyFont="1" applyNumberFormat="1"/>
    <xf borderId="1" fillId="0" fontId="9" numFmtId="0" xfId="0" applyBorder="1" applyFont="1"/>
    <xf borderId="1" fillId="0" fontId="2" numFmtId="0" xfId="0" applyBorder="1" applyFont="1"/>
    <xf borderId="1" fillId="0" fontId="2" numFmtId="166" xfId="0" applyBorder="1" applyFont="1" applyNumberFormat="1"/>
    <xf borderId="1" fillId="0" fontId="2" numFmtId="0" xfId="0" applyAlignment="1" applyBorder="1" applyFont="1">
      <alignment readingOrder="0"/>
    </xf>
    <xf borderId="2" fillId="0" fontId="10" numFmtId="0" xfId="0" applyAlignment="1" applyBorder="1" applyFont="1">
      <alignment horizontal="center"/>
    </xf>
    <xf borderId="3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Fecha de venta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Datos_Limpios!$A$1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val>
            <c:numRef>
              <c:f>Datos_Limpios!$A$2:$A$1001</c:f>
              <c:numCache/>
            </c:numRef>
          </c:val>
          <c:smooth val="1"/>
        </c:ser>
        <c:axId val="356583770"/>
        <c:axId val="2104379356"/>
      </c:lineChart>
      <c:catAx>
        <c:axId val="356583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379356"/>
      </c:catAx>
      <c:valAx>
        <c:axId val="2104379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 de venta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583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0</xdr:row>
      <xdr:rowOff>0</xdr:rowOff>
    </xdr:from>
    <xdr:ext cx="5715000" cy="3533775"/>
    <xdr:pic>
      <xdr:nvPicPr>
        <xdr:cNvPr id="118208844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5715000" cy="3533775"/>
    <xdr:graphicFrame>
      <xdr:nvGraphicFramePr>
        <xdr:cNvPr id="129355829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18.22"/>
    <col customWidth="1" min="3" max="3" width="14.67"/>
    <col customWidth="1" min="4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>
        <v>45566.0</v>
      </c>
      <c r="B2" s="2" t="s">
        <v>9</v>
      </c>
      <c r="C2" s="2" t="s">
        <v>10</v>
      </c>
      <c r="D2" s="5">
        <v>1339.17</v>
      </c>
      <c r="E2" s="5">
        <v>2.0</v>
      </c>
      <c r="F2" s="6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2" t="s">
        <v>14</v>
      </c>
      <c r="C3" s="2" t="s">
        <v>15</v>
      </c>
      <c r="D3" s="5">
        <v>716.29</v>
      </c>
      <c r="E3" s="5">
        <v>1.0</v>
      </c>
      <c r="F3" s="6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2" t="s">
        <v>19</v>
      </c>
      <c r="C4" s="2" t="s">
        <v>15</v>
      </c>
      <c r="D4" s="5">
        <v>439.01</v>
      </c>
      <c r="E4" s="5">
        <v>5.0</v>
      </c>
      <c r="F4" s="6">
        <v>2195.05</v>
      </c>
      <c r="G4" s="2" t="s">
        <v>20</v>
      </c>
      <c r="H4" s="2" t="s">
        <v>21</v>
      </c>
      <c r="I4" s="2" t="s">
        <v>22</v>
      </c>
    </row>
    <row r="5" ht="15.75" customHeight="1">
      <c r="A5" s="1">
        <v>45568.0</v>
      </c>
      <c r="B5" s="2" t="s">
        <v>14</v>
      </c>
      <c r="C5" s="2" t="s">
        <v>23</v>
      </c>
      <c r="D5" s="5">
        <v>741.79</v>
      </c>
      <c r="E5" s="5">
        <v>2.0</v>
      </c>
      <c r="F5" s="6">
        <v>1483.58</v>
      </c>
      <c r="G5" s="2" t="s">
        <v>24</v>
      </c>
      <c r="H5" s="2" t="s">
        <v>25</v>
      </c>
      <c r="I5" s="2" t="s">
        <v>26</v>
      </c>
    </row>
    <row r="6" ht="15.75" customHeight="1">
      <c r="A6" s="1">
        <v>45568.0</v>
      </c>
      <c r="B6" s="2" t="s">
        <v>14</v>
      </c>
      <c r="C6" s="2" t="s">
        <v>10</v>
      </c>
      <c r="D6" s="5">
        <v>984.34</v>
      </c>
      <c r="E6" s="5">
        <v>3.0</v>
      </c>
      <c r="F6" s="6">
        <v>2953.02</v>
      </c>
      <c r="G6" s="2" t="s">
        <v>27</v>
      </c>
      <c r="H6" s="2" t="s">
        <v>28</v>
      </c>
      <c r="I6" s="2" t="s">
        <v>29</v>
      </c>
    </row>
    <row r="7" ht="15.75" customHeight="1">
      <c r="A7" s="1">
        <v>45568.0</v>
      </c>
      <c r="B7" s="3" t="s">
        <v>30</v>
      </c>
      <c r="C7" s="2" t="s">
        <v>31</v>
      </c>
      <c r="D7" s="5">
        <v>2419.81</v>
      </c>
      <c r="E7" s="5">
        <v>5.0</v>
      </c>
      <c r="F7" s="6">
        <v>12099.05</v>
      </c>
      <c r="G7" s="2" t="s">
        <v>32</v>
      </c>
      <c r="H7" s="2" t="s">
        <v>33</v>
      </c>
      <c r="I7" s="2" t="s">
        <v>34</v>
      </c>
    </row>
    <row r="8" ht="15.75" customHeight="1">
      <c r="A8" s="1">
        <v>45568.0</v>
      </c>
      <c r="B8" s="2" t="s">
        <v>35</v>
      </c>
      <c r="C8" s="2" t="s">
        <v>36</v>
      </c>
      <c r="D8" s="5">
        <v>145.9</v>
      </c>
      <c r="E8" s="5">
        <v>5.0</v>
      </c>
      <c r="F8" s="6">
        <v>729.5</v>
      </c>
      <c r="G8" s="2" t="s">
        <v>37</v>
      </c>
      <c r="H8" s="2" t="s">
        <v>38</v>
      </c>
      <c r="I8" s="2" t="s">
        <v>39</v>
      </c>
    </row>
    <row r="9" ht="15.75" customHeight="1">
      <c r="A9" s="1">
        <v>45569.0</v>
      </c>
      <c r="B9" s="3" t="s">
        <v>30</v>
      </c>
      <c r="C9" s="2" t="s">
        <v>40</v>
      </c>
      <c r="D9" s="5">
        <v>1086.48</v>
      </c>
      <c r="E9" s="5">
        <v>1.0</v>
      </c>
      <c r="F9" s="6">
        <v>1086.48</v>
      </c>
      <c r="G9" s="2" t="s">
        <v>41</v>
      </c>
      <c r="H9" s="2" t="s">
        <v>42</v>
      </c>
      <c r="I9" s="2" t="s">
        <v>43</v>
      </c>
    </row>
    <row r="10" ht="15.75" customHeight="1">
      <c r="A10" s="1">
        <v>45570.0</v>
      </c>
      <c r="B10" s="2" t="s">
        <v>9</v>
      </c>
      <c r="C10" s="2" t="s">
        <v>40</v>
      </c>
      <c r="D10" s="5">
        <v>1898.32</v>
      </c>
      <c r="E10" s="5">
        <v>4.0</v>
      </c>
      <c r="F10" s="6">
        <v>7593.28</v>
      </c>
      <c r="G10" s="2" t="s">
        <v>44</v>
      </c>
      <c r="H10" s="2" t="s">
        <v>45</v>
      </c>
      <c r="I10" s="2" t="s">
        <v>46</v>
      </c>
    </row>
    <row r="11" ht="15.75" customHeight="1">
      <c r="A11" s="1">
        <v>45571.0</v>
      </c>
      <c r="B11" s="2" t="s">
        <v>9</v>
      </c>
      <c r="C11" s="2" t="s">
        <v>10</v>
      </c>
      <c r="D11" s="5">
        <v>1280.61</v>
      </c>
      <c r="E11" s="5">
        <v>5.0</v>
      </c>
      <c r="F11" s="6">
        <v>6403.05</v>
      </c>
      <c r="G11" s="2" t="s">
        <v>47</v>
      </c>
      <c r="H11" s="2" t="s">
        <v>48</v>
      </c>
      <c r="I11" s="7" t="s">
        <v>49</v>
      </c>
    </row>
    <row r="12" ht="15.75" customHeight="1">
      <c r="A12" s="1">
        <v>45571.0</v>
      </c>
      <c r="B12" s="2" t="s">
        <v>35</v>
      </c>
      <c r="C12" s="2" t="s">
        <v>50</v>
      </c>
      <c r="D12" s="5">
        <v>1753.0</v>
      </c>
      <c r="E12" s="5">
        <v>5.0</v>
      </c>
      <c r="F12" s="6">
        <v>8765.0</v>
      </c>
      <c r="G12" s="2" t="s">
        <v>51</v>
      </c>
      <c r="H12" s="2" t="s">
        <v>52</v>
      </c>
      <c r="I12" s="2" t="s">
        <v>53</v>
      </c>
    </row>
    <row r="13" ht="15.75" customHeight="1">
      <c r="A13" s="1">
        <v>45572.0</v>
      </c>
      <c r="B13" s="3" t="s">
        <v>30</v>
      </c>
      <c r="C13" s="2" t="s">
        <v>54</v>
      </c>
      <c r="D13" s="5">
        <v>370.25</v>
      </c>
      <c r="E13" s="5">
        <v>4.0</v>
      </c>
      <c r="F13" s="6">
        <v>1481.0</v>
      </c>
      <c r="G13" s="2" t="s">
        <v>55</v>
      </c>
      <c r="H13" s="2" t="s">
        <v>56</v>
      </c>
      <c r="I13" s="2" t="s">
        <v>57</v>
      </c>
    </row>
    <row r="14" ht="15.75" customHeight="1">
      <c r="A14" s="1">
        <v>45572.0</v>
      </c>
      <c r="B14" s="2" t="s">
        <v>58</v>
      </c>
      <c r="C14" s="2" t="s">
        <v>59</v>
      </c>
      <c r="D14" s="5">
        <v>62.73</v>
      </c>
      <c r="E14" s="5">
        <v>3.0</v>
      </c>
      <c r="F14" s="6">
        <v>188.19</v>
      </c>
      <c r="G14" s="2" t="s">
        <v>60</v>
      </c>
      <c r="H14" s="2" t="s">
        <v>61</v>
      </c>
      <c r="I14" s="2" t="s">
        <v>62</v>
      </c>
    </row>
    <row r="15" ht="15.75" customHeight="1">
      <c r="A15" s="1">
        <v>45573.0</v>
      </c>
      <c r="B15" s="2" t="s">
        <v>35</v>
      </c>
      <c r="C15" s="2" t="s">
        <v>63</v>
      </c>
      <c r="D15" s="5">
        <v>2314.37</v>
      </c>
      <c r="E15" s="5">
        <v>5.0</v>
      </c>
      <c r="F15" s="6">
        <v>11571.85</v>
      </c>
      <c r="G15" s="2" t="s">
        <v>64</v>
      </c>
      <c r="H15" s="2" t="s">
        <v>65</v>
      </c>
      <c r="I15" s="2" t="s">
        <v>66</v>
      </c>
    </row>
    <row r="16" ht="15.75" customHeight="1">
      <c r="A16" s="1">
        <v>45573.0</v>
      </c>
      <c r="B16" s="2" t="s">
        <v>35</v>
      </c>
      <c r="C16" s="2" t="s">
        <v>67</v>
      </c>
      <c r="D16" s="5">
        <v>2168.25</v>
      </c>
      <c r="E16" s="5">
        <v>3.0</v>
      </c>
      <c r="F16" s="6">
        <v>6504.75</v>
      </c>
      <c r="G16" s="2" t="s">
        <v>68</v>
      </c>
      <c r="H16" s="2" t="s">
        <v>69</v>
      </c>
      <c r="I16" s="2" t="s">
        <v>70</v>
      </c>
    </row>
    <row r="17" ht="15.75" customHeight="1">
      <c r="A17" s="1">
        <v>45574.0</v>
      </c>
      <c r="B17" s="2" t="s">
        <v>14</v>
      </c>
      <c r="C17" s="2" t="s">
        <v>71</v>
      </c>
      <c r="D17" s="5">
        <v>120.46</v>
      </c>
      <c r="E17" s="5">
        <v>1.0</v>
      </c>
      <c r="F17" s="6">
        <v>120.46</v>
      </c>
      <c r="G17" s="2" t="s">
        <v>72</v>
      </c>
      <c r="H17" s="2" t="s">
        <v>73</v>
      </c>
      <c r="I17" s="2" t="s">
        <v>74</v>
      </c>
    </row>
    <row r="18" ht="15.75" customHeight="1">
      <c r="A18" s="1">
        <v>45574.0</v>
      </c>
      <c r="B18" s="2" t="s">
        <v>75</v>
      </c>
      <c r="C18" s="2" t="s">
        <v>76</v>
      </c>
      <c r="D18" s="5">
        <v>525.13</v>
      </c>
      <c r="E18" s="5">
        <v>2.0</v>
      </c>
      <c r="F18" s="6">
        <v>1050.26</v>
      </c>
      <c r="G18" s="2" t="s">
        <v>77</v>
      </c>
      <c r="H18" s="2" t="s">
        <v>78</v>
      </c>
      <c r="I18" s="2" t="s">
        <v>79</v>
      </c>
    </row>
    <row r="19" ht="15.75" customHeight="1">
      <c r="A19" s="1">
        <v>45575.0</v>
      </c>
      <c r="B19" s="3" t="s">
        <v>80</v>
      </c>
      <c r="C19" s="2" t="s">
        <v>81</v>
      </c>
      <c r="D19" s="5">
        <v>278.37</v>
      </c>
      <c r="E19" s="5">
        <v>3.0</v>
      </c>
      <c r="F19" s="6">
        <v>835.11</v>
      </c>
      <c r="G19" s="2" t="s">
        <v>82</v>
      </c>
      <c r="H19" s="2" t="s">
        <v>83</v>
      </c>
      <c r="I19" s="2" t="s">
        <v>84</v>
      </c>
    </row>
    <row r="20" ht="15.75" customHeight="1">
      <c r="A20" s="1">
        <v>45575.0</v>
      </c>
      <c r="B20" s="2" t="s">
        <v>35</v>
      </c>
      <c r="C20" s="2" t="s">
        <v>85</v>
      </c>
      <c r="D20" s="5">
        <v>157.57</v>
      </c>
      <c r="E20" s="5">
        <v>2.0</v>
      </c>
      <c r="F20" s="6">
        <v>315.14</v>
      </c>
      <c r="G20" s="2" t="s">
        <v>86</v>
      </c>
      <c r="H20" s="2" t="s">
        <v>87</v>
      </c>
      <c r="I20" s="2" t="s">
        <v>88</v>
      </c>
    </row>
    <row r="21" ht="15.75" customHeight="1">
      <c r="A21" s="1">
        <v>45575.0</v>
      </c>
      <c r="B21" s="2" t="s">
        <v>89</v>
      </c>
      <c r="C21" s="2" t="s">
        <v>90</v>
      </c>
      <c r="D21" s="5">
        <v>981.62</v>
      </c>
      <c r="E21" s="5">
        <v>5.0</v>
      </c>
      <c r="F21" s="6">
        <v>4908.1</v>
      </c>
      <c r="G21" s="2" t="s">
        <v>91</v>
      </c>
      <c r="H21" s="2" t="s">
        <v>92</v>
      </c>
      <c r="I21" s="2" t="s">
        <v>93</v>
      </c>
    </row>
    <row r="22" ht="15.75" customHeight="1">
      <c r="A22" s="1">
        <v>45575.0</v>
      </c>
      <c r="B22" s="3" t="s">
        <v>30</v>
      </c>
      <c r="C22" s="2" t="s">
        <v>94</v>
      </c>
      <c r="D22" s="5">
        <v>646.22</v>
      </c>
      <c r="E22" s="5">
        <v>2.0</v>
      </c>
      <c r="F22" s="6">
        <v>1292.44</v>
      </c>
      <c r="G22" s="2" t="s">
        <v>95</v>
      </c>
      <c r="H22" s="2" t="s">
        <v>96</v>
      </c>
      <c r="I22" s="2" t="s">
        <v>97</v>
      </c>
    </row>
    <row r="23" ht="15.75" customHeight="1">
      <c r="A23" s="1">
        <v>45575.0</v>
      </c>
      <c r="B23" s="2" t="s">
        <v>58</v>
      </c>
      <c r="C23" s="2" t="s">
        <v>36</v>
      </c>
      <c r="D23" s="5">
        <v>1848.98</v>
      </c>
      <c r="E23" s="5">
        <v>3.0</v>
      </c>
      <c r="F23" s="6">
        <v>5546.94</v>
      </c>
      <c r="G23" s="2" t="s">
        <v>98</v>
      </c>
      <c r="H23" s="2" t="s">
        <v>99</v>
      </c>
      <c r="I23" s="2" t="s">
        <v>100</v>
      </c>
    </row>
    <row r="24" ht="15.75" customHeight="1">
      <c r="A24" s="1">
        <v>45575.0</v>
      </c>
      <c r="B24" s="2" t="s">
        <v>75</v>
      </c>
      <c r="C24" s="2" t="s">
        <v>31</v>
      </c>
      <c r="D24" s="5">
        <v>1420.28</v>
      </c>
      <c r="E24" s="5">
        <v>4.0</v>
      </c>
      <c r="F24" s="6">
        <v>5681.12</v>
      </c>
      <c r="G24" s="2" t="s">
        <v>101</v>
      </c>
      <c r="H24" s="2" t="s">
        <v>102</v>
      </c>
      <c r="I24" s="2" t="s">
        <v>103</v>
      </c>
    </row>
    <row r="25" ht="15.75" customHeight="1">
      <c r="A25" s="1">
        <v>45576.0</v>
      </c>
      <c r="B25" s="2" t="s">
        <v>35</v>
      </c>
      <c r="C25" s="2" t="s">
        <v>71</v>
      </c>
      <c r="D25" s="5">
        <v>2208.12</v>
      </c>
      <c r="E25" s="5">
        <v>2.0</v>
      </c>
      <c r="F25" s="6">
        <v>4416.24</v>
      </c>
      <c r="G25" s="2" t="s">
        <v>104</v>
      </c>
      <c r="H25" s="2" t="s">
        <v>105</v>
      </c>
      <c r="I25" s="2" t="s">
        <v>106</v>
      </c>
    </row>
    <row r="26" ht="15.75" customHeight="1">
      <c r="A26" s="1">
        <v>45576.0</v>
      </c>
      <c r="B26" s="2" t="s">
        <v>35</v>
      </c>
      <c r="C26" s="2" t="s">
        <v>23</v>
      </c>
      <c r="D26" s="5">
        <v>591.94</v>
      </c>
      <c r="E26" s="5">
        <v>2.0</v>
      </c>
      <c r="F26" s="6">
        <v>1183.88</v>
      </c>
      <c r="G26" s="2" t="s">
        <v>107</v>
      </c>
      <c r="H26" s="2" t="s">
        <v>108</v>
      </c>
      <c r="I26" s="2" t="s">
        <v>109</v>
      </c>
    </row>
    <row r="27" ht="15.75" customHeight="1">
      <c r="A27" s="1">
        <v>45576.0</v>
      </c>
      <c r="B27" s="2" t="s">
        <v>9</v>
      </c>
      <c r="C27" s="2" t="s">
        <v>59</v>
      </c>
      <c r="D27" s="5">
        <v>1429.89</v>
      </c>
      <c r="E27" s="5">
        <v>4.0</v>
      </c>
      <c r="F27" s="6">
        <v>5719.56</v>
      </c>
      <c r="G27" s="2" t="s">
        <v>110</v>
      </c>
      <c r="H27" s="2" t="s">
        <v>111</v>
      </c>
      <c r="I27" s="2" t="s">
        <v>112</v>
      </c>
    </row>
    <row r="28" ht="15.75" customHeight="1">
      <c r="A28" s="1">
        <v>45576.0</v>
      </c>
      <c r="B28" s="2" t="s">
        <v>35</v>
      </c>
      <c r="C28" s="2" t="s">
        <v>40</v>
      </c>
      <c r="D28" s="5">
        <v>2085.29</v>
      </c>
      <c r="E28" s="5">
        <v>1.0</v>
      </c>
      <c r="F28" s="6">
        <v>2085.29</v>
      </c>
      <c r="G28" s="2" t="s">
        <v>113</v>
      </c>
      <c r="H28" s="2" t="s">
        <v>114</v>
      </c>
      <c r="I28" s="7" t="s">
        <v>115</v>
      </c>
    </row>
    <row r="29" ht="15.75" customHeight="1">
      <c r="A29" s="1">
        <v>45576.0</v>
      </c>
      <c r="B29" s="2" t="s">
        <v>116</v>
      </c>
      <c r="C29" s="2" t="s">
        <v>117</v>
      </c>
      <c r="D29" s="5">
        <v>724.28</v>
      </c>
      <c r="E29" s="5">
        <v>3.0</v>
      </c>
      <c r="F29" s="6">
        <v>2172.84</v>
      </c>
      <c r="G29" s="2" t="s">
        <v>118</v>
      </c>
      <c r="H29" s="2" t="s">
        <v>119</v>
      </c>
      <c r="I29" s="2" t="s">
        <v>120</v>
      </c>
    </row>
    <row r="30" ht="15.75" customHeight="1">
      <c r="A30" s="1">
        <v>45576.0</v>
      </c>
      <c r="B30" s="2" t="s">
        <v>75</v>
      </c>
      <c r="C30" s="2" t="s">
        <v>121</v>
      </c>
      <c r="D30" s="5">
        <v>1859.58</v>
      </c>
      <c r="E30" s="5">
        <v>3.0</v>
      </c>
      <c r="F30" s="6">
        <v>5578.74</v>
      </c>
      <c r="G30" s="2" t="s">
        <v>122</v>
      </c>
      <c r="H30" s="2" t="s">
        <v>123</v>
      </c>
      <c r="I30" s="2" t="s">
        <v>124</v>
      </c>
    </row>
    <row r="31" ht="15.75" customHeight="1">
      <c r="A31" s="1">
        <v>45576.0</v>
      </c>
      <c r="B31" s="2" t="s">
        <v>35</v>
      </c>
      <c r="C31" s="2" t="s">
        <v>125</v>
      </c>
      <c r="D31" s="5">
        <v>218.17</v>
      </c>
      <c r="E31" s="5">
        <v>4.0</v>
      </c>
      <c r="F31" s="6">
        <v>872.68</v>
      </c>
      <c r="G31" s="2" t="s">
        <v>126</v>
      </c>
      <c r="H31" s="2" t="s">
        <v>127</v>
      </c>
      <c r="I31" s="2" t="s">
        <v>128</v>
      </c>
    </row>
    <row r="32" ht="15.75" customHeight="1">
      <c r="A32" s="1">
        <v>45576.0</v>
      </c>
      <c r="B32" s="3" t="s">
        <v>30</v>
      </c>
      <c r="C32" s="2" t="s">
        <v>36</v>
      </c>
      <c r="D32" s="5">
        <v>1375.85</v>
      </c>
      <c r="E32" s="5">
        <v>1.0</v>
      </c>
      <c r="F32" s="6">
        <v>1375.85</v>
      </c>
      <c r="G32" s="2" t="s">
        <v>129</v>
      </c>
      <c r="H32" s="2" t="s">
        <v>130</v>
      </c>
      <c r="I32" s="2" t="s">
        <v>131</v>
      </c>
    </row>
    <row r="33" ht="15.75" customHeight="1">
      <c r="A33" s="1">
        <v>45576.0</v>
      </c>
      <c r="B33" s="2" t="s">
        <v>58</v>
      </c>
      <c r="C33" s="2" t="s">
        <v>132</v>
      </c>
      <c r="D33" s="5">
        <v>421.59</v>
      </c>
      <c r="E33" s="5">
        <v>2.0</v>
      </c>
      <c r="F33" s="6">
        <v>843.18</v>
      </c>
      <c r="G33" s="2" t="s">
        <v>133</v>
      </c>
      <c r="H33" s="2" t="s">
        <v>134</v>
      </c>
      <c r="I33" s="2" t="s">
        <v>135</v>
      </c>
    </row>
    <row r="34" ht="15.75" customHeight="1">
      <c r="A34" s="1">
        <v>45576.0</v>
      </c>
      <c r="B34" s="2" t="s">
        <v>9</v>
      </c>
      <c r="C34" s="2" t="s">
        <v>76</v>
      </c>
      <c r="D34" s="5">
        <v>2288.18</v>
      </c>
      <c r="E34" s="5">
        <v>1.0</v>
      </c>
      <c r="F34" s="6">
        <v>2288.18</v>
      </c>
      <c r="G34" s="2" t="s">
        <v>136</v>
      </c>
      <c r="H34" s="2" t="s">
        <v>137</v>
      </c>
      <c r="I34" s="2" t="s">
        <v>138</v>
      </c>
    </row>
    <row r="35" ht="15.75" customHeight="1">
      <c r="A35" s="1">
        <v>45576.0</v>
      </c>
      <c r="B35" s="2" t="s">
        <v>9</v>
      </c>
      <c r="C35" s="2" t="s">
        <v>139</v>
      </c>
      <c r="D35" s="5">
        <v>1699.32</v>
      </c>
      <c r="E35" s="5">
        <v>4.0</v>
      </c>
      <c r="F35" s="6">
        <v>6797.28</v>
      </c>
      <c r="G35" s="2" t="s">
        <v>140</v>
      </c>
      <c r="H35" s="2" t="s">
        <v>141</v>
      </c>
      <c r="I35" s="2" t="s">
        <v>142</v>
      </c>
    </row>
    <row r="36" ht="15.75" customHeight="1">
      <c r="A36" s="1">
        <v>45576.0</v>
      </c>
      <c r="B36" s="2" t="s">
        <v>75</v>
      </c>
      <c r="C36" s="2" t="s">
        <v>76</v>
      </c>
      <c r="D36" s="5">
        <v>1578.34</v>
      </c>
      <c r="E36" s="5">
        <v>3.0</v>
      </c>
      <c r="F36" s="6">
        <v>4735.02</v>
      </c>
      <c r="G36" s="2" t="s">
        <v>143</v>
      </c>
      <c r="H36" s="2" t="s">
        <v>144</v>
      </c>
      <c r="I36" s="2" t="s">
        <v>145</v>
      </c>
    </row>
    <row r="37" ht="15.75" customHeight="1">
      <c r="A37" s="1">
        <v>45577.0</v>
      </c>
      <c r="B37" s="2" t="s">
        <v>14</v>
      </c>
      <c r="C37" s="2" t="s">
        <v>146</v>
      </c>
      <c r="D37" s="5">
        <v>1445.1</v>
      </c>
      <c r="E37" s="5">
        <v>4.0</v>
      </c>
      <c r="F37" s="6">
        <v>5780.4</v>
      </c>
      <c r="G37" s="2" t="s">
        <v>147</v>
      </c>
      <c r="H37" s="2" t="s">
        <v>148</v>
      </c>
      <c r="I37" s="2" t="s">
        <v>149</v>
      </c>
    </row>
    <row r="38" ht="15.75" customHeight="1">
      <c r="A38" s="1">
        <v>45577.0</v>
      </c>
      <c r="B38" s="2" t="s">
        <v>58</v>
      </c>
      <c r="C38" s="2" t="s">
        <v>59</v>
      </c>
      <c r="D38" s="5">
        <v>1065.52</v>
      </c>
      <c r="E38" s="5">
        <v>2.0</v>
      </c>
      <c r="F38" s="6">
        <v>2131.04</v>
      </c>
      <c r="G38" s="2" t="s">
        <v>150</v>
      </c>
      <c r="H38" s="2" t="s">
        <v>151</v>
      </c>
      <c r="I38" s="2" t="s">
        <v>152</v>
      </c>
    </row>
    <row r="39" ht="15.75" customHeight="1">
      <c r="A39" s="1">
        <v>45577.0</v>
      </c>
      <c r="B39" s="3" t="s">
        <v>30</v>
      </c>
      <c r="C39" s="2" t="s">
        <v>153</v>
      </c>
      <c r="D39" s="5">
        <v>2095.66</v>
      </c>
      <c r="E39" s="5">
        <v>5.0</v>
      </c>
      <c r="F39" s="6">
        <v>10478.3</v>
      </c>
      <c r="G39" s="2" t="s">
        <v>154</v>
      </c>
      <c r="H39" s="2" t="s">
        <v>155</v>
      </c>
      <c r="I39" s="2" t="s">
        <v>156</v>
      </c>
    </row>
    <row r="40" ht="15.75" customHeight="1">
      <c r="A40" s="1">
        <v>45577.0</v>
      </c>
      <c r="B40" s="2" t="s">
        <v>58</v>
      </c>
      <c r="C40" s="2" t="s">
        <v>23</v>
      </c>
      <c r="D40" s="5">
        <v>2215.63</v>
      </c>
      <c r="E40" s="5">
        <v>3.0</v>
      </c>
      <c r="F40" s="6">
        <v>6646.89</v>
      </c>
      <c r="G40" s="2" t="s">
        <v>157</v>
      </c>
      <c r="H40" s="2" t="s">
        <v>158</v>
      </c>
      <c r="I40" s="2" t="s">
        <v>159</v>
      </c>
    </row>
    <row r="41" ht="15.75" customHeight="1">
      <c r="A41" s="1">
        <v>45577.0</v>
      </c>
      <c r="B41" s="2" t="s">
        <v>14</v>
      </c>
      <c r="C41" s="2" t="s">
        <v>67</v>
      </c>
      <c r="D41" s="5">
        <v>2395.85</v>
      </c>
      <c r="E41" s="5">
        <v>4.0</v>
      </c>
      <c r="F41" s="6">
        <v>9583.4</v>
      </c>
      <c r="G41" s="2" t="s">
        <v>160</v>
      </c>
      <c r="H41" s="2" t="s">
        <v>161</v>
      </c>
      <c r="I41" s="2" t="s">
        <v>162</v>
      </c>
    </row>
    <row r="42" ht="15.75" customHeight="1">
      <c r="A42" s="1">
        <v>45577.0</v>
      </c>
      <c r="B42" s="2" t="s">
        <v>58</v>
      </c>
      <c r="C42" s="2" t="s">
        <v>163</v>
      </c>
      <c r="D42" s="5">
        <v>883.61</v>
      </c>
      <c r="E42" s="5">
        <v>2.0</v>
      </c>
      <c r="F42" s="6">
        <v>1767.22</v>
      </c>
      <c r="G42" s="2" t="s">
        <v>164</v>
      </c>
      <c r="H42" s="2" t="s">
        <v>165</v>
      </c>
      <c r="I42" s="2" t="s">
        <v>166</v>
      </c>
    </row>
    <row r="43" ht="15.75" customHeight="1">
      <c r="A43" s="1">
        <v>45577.0</v>
      </c>
      <c r="B43" s="2" t="s">
        <v>75</v>
      </c>
      <c r="C43" s="2" t="s">
        <v>167</v>
      </c>
      <c r="D43" s="5">
        <v>1277.75</v>
      </c>
      <c r="E43" s="5">
        <v>1.0</v>
      </c>
      <c r="F43" s="6">
        <v>1277.75</v>
      </c>
      <c r="G43" s="2" t="s">
        <v>168</v>
      </c>
      <c r="H43" s="2" t="s">
        <v>169</v>
      </c>
      <c r="I43" s="2" t="s">
        <v>170</v>
      </c>
    </row>
    <row r="44" ht="15.75" customHeight="1">
      <c r="A44" s="1">
        <v>45577.0</v>
      </c>
      <c r="B44" s="2" t="s">
        <v>58</v>
      </c>
      <c r="C44" s="2" t="s">
        <v>171</v>
      </c>
      <c r="D44" s="5">
        <v>2182.77</v>
      </c>
      <c r="E44" s="5">
        <v>3.0</v>
      </c>
      <c r="F44" s="6">
        <v>6548.31</v>
      </c>
      <c r="G44" s="2" t="s">
        <v>172</v>
      </c>
      <c r="H44" s="2" t="s">
        <v>173</v>
      </c>
      <c r="I44" s="2" t="s">
        <v>174</v>
      </c>
    </row>
    <row r="45" ht="15.75" customHeight="1">
      <c r="A45" s="1">
        <v>45577.0</v>
      </c>
      <c r="B45" s="2" t="s">
        <v>14</v>
      </c>
      <c r="C45" s="2" t="s">
        <v>59</v>
      </c>
      <c r="D45" s="5">
        <v>1163.04</v>
      </c>
      <c r="E45" s="5">
        <v>1.0</v>
      </c>
      <c r="F45" s="6">
        <v>1163.04</v>
      </c>
      <c r="G45" s="2" t="s">
        <v>175</v>
      </c>
      <c r="H45" s="2" t="s">
        <v>176</v>
      </c>
      <c r="I45" s="2" t="s">
        <v>177</v>
      </c>
    </row>
    <row r="46" ht="15.75" customHeight="1">
      <c r="A46" s="1">
        <v>45578.0</v>
      </c>
      <c r="B46" s="2" t="s">
        <v>9</v>
      </c>
      <c r="C46" s="2" t="s">
        <v>94</v>
      </c>
      <c r="D46" s="5">
        <v>1664.18</v>
      </c>
      <c r="E46" s="5">
        <v>3.0</v>
      </c>
      <c r="F46" s="6">
        <v>4992.54</v>
      </c>
      <c r="G46" s="2" t="s">
        <v>178</v>
      </c>
      <c r="H46" s="2" t="s">
        <v>179</v>
      </c>
      <c r="I46" s="2" t="s">
        <v>180</v>
      </c>
    </row>
    <row r="47" ht="15.75" customHeight="1">
      <c r="A47" s="1">
        <v>45578.0</v>
      </c>
      <c r="B47" s="2" t="s">
        <v>181</v>
      </c>
      <c r="C47" s="2" t="s">
        <v>182</v>
      </c>
      <c r="D47" s="5">
        <v>992.68</v>
      </c>
      <c r="E47" s="5">
        <v>5.0</v>
      </c>
      <c r="F47" s="6">
        <v>4963.4</v>
      </c>
      <c r="G47" s="2" t="s">
        <v>183</v>
      </c>
      <c r="H47" s="2" t="s">
        <v>184</v>
      </c>
      <c r="I47" s="2" t="s">
        <v>185</v>
      </c>
    </row>
    <row r="48" ht="15.75" customHeight="1">
      <c r="A48" s="1">
        <v>45578.0</v>
      </c>
      <c r="B48" s="2" t="s">
        <v>58</v>
      </c>
      <c r="C48" s="2" t="s">
        <v>186</v>
      </c>
      <c r="D48" s="5">
        <v>284.79</v>
      </c>
      <c r="E48" s="5">
        <v>5.0</v>
      </c>
      <c r="F48" s="6">
        <v>1423.95</v>
      </c>
      <c r="G48" s="2" t="s">
        <v>187</v>
      </c>
      <c r="H48" s="2" t="s">
        <v>188</v>
      </c>
      <c r="I48" s="2" t="s">
        <v>189</v>
      </c>
    </row>
    <row r="49" ht="15.75" customHeight="1">
      <c r="A49" s="1">
        <v>45578.0</v>
      </c>
      <c r="B49" s="2" t="s">
        <v>9</v>
      </c>
      <c r="C49" s="2" t="s">
        <v>190</v>
      </c>
      <c r="D49" s="2"/>
      <c r="E49" s="5">
        <v>3.0</v>
      </c>
      <c r="F49" s="6">
        <v>1086.51</v>
      </c>
      <c r="G49" s="2" t="s">
        <v>191</v>
      </c>
      <c r="H49" s="2" t="s">
        <v>192</v>
      </c>
      <c r="I49" s="2" t="s">
        <v>193</v>
      </c>
    </row>
    <row r="50" ht="15.75" customHeight="1">
      <c r="A50" s="1">
        <v>45578.0</v>
      </c>
      <c r="B50" s="2" t="s">
        <v>58</v>
      </c>
      <c r="C50" s="2" t="s">
        <v>54</v>
      </c>
      <c r="D50" s="5">
        <v>1274.8</v>
      </c>
      <c r="E50" s="5">
        <v>5.0</v>
      </c>
      <c r="F50" s="6">
        <v>6374.0</v>
      </c>
      <c r="G50" s="2" t="s">
        <v>194</v>
      </c>
      <c r="H50" s="2" t="s">
        <v>195</v>
      </c>
      <c r="I50" s="2" t="s">
        <v>196</v>
      </c>
    </row>
    <row r="51" ht="15.75" customHeight="1">
      <c r="A51" s="1">
        <v>45578.0</v>
      </c>
      <c r="B51" s="2" t="s">
        <v>58</v>
      </c>
      <c r="C51" s="2" t="s">
        <v>36</v>
      </c>
      <c r="D51" s="5">
        <v>233.85</v>
      </c>
      <c r="E51" s="5">
        <v>4.0</v>
      </c>
      <c r="F51" s="6">
        <v>935.4</v>
      </c>
      <c r="G51" s="2" t="s">
        <v>197</v>
      </c>
      <c r="H51" s="2" t="s">
        <v>198</v>
      </c>
      <c r="I51" s="2" t="s">
        <v>199</v>
      </c>
    </row>
    <row r="52" ht="15.75" customHeight="1">
      <c r="A52" s="1">
        <v>45578.0</v>
      </c>
      <c r="B52" s="3" t="s">
        <v>30</v>
      </c>
      <c r="C52" s="2" t="s">
        <v>15</v>
      </c>
      <c r="D52" s="5">
        <v>142.14</v>
      </c>
      <c r="E52" s="5">
        <v>3.0</v>
      </c>
      <c r="F52" s="6">
        <v>426.42</v>
      </c>
      <c r="G52" s="2" t="s">
        <v>200</v>
      </c>
      <c r="H52" s="2" t="s">
        <v>201</v>
      </c>
      <c r="I52" s="2" t="s">
        <v>202</v>
      </c>
    </row>
    <row r="53" ht="15.75" customHeight="1">
      <c r="A53" s="1">
        <v>45578.0</v>
      </c>
      <c r="B53" s="2" t="s">
        <v>35</v>
      </c>
      <c r="C53" s="2" t="s">
        <v>121</v>
      </c>
      <c r="D53" s="5">
        <v>226.52</v>
      </c>
      <c r="E53" s="5">
        <v>2.0</v>
      </c>
      <c r="F53" s="6">
        <v>453.04</v>
      </c>
      <c r="G53" s="2" t="s">
        <v>203</v>
      </c>
      <c r="H53" s="2" t="s">
        <v>204</v>
      </c>
      <c r="I53" s="2" t="s">
        <v>205</v>
      </c>
    </row>
    <row r="54" ht="15.75" customHeight="1">
      <c r="A54" s="1">
        <v>45578.0</v>
      </c>
      <c r="B54" s="3" t="s">
        <v>30</v>
      </c>
      <c r="C54" s="2" t="s">
        <v>76</v>
      </c>
      <c r="D54" s="5">
        <v>1922.79</v>
      </c>
      <c r="E54" s="5">
        <v>3.0</v>
      </c>
      <c r="F54" s="6">
        <v>5768.37</v>
      </c>
      <c r="G54" s="2" t="s">
        <v>206</v>
      </c>
      <c r="H54" s="2" t="s">
        <v>207</v>
      </c>
      <c r="I54" s="2" t="s">
        <v>208</v>
      </c>
    </row>
    <row r="55" ht="15.75" customHeight="1">
      <c r="A55" s="1">
        <v>45578.0</v>
      </c>
      <c r="B55" s="2" t="s">
        <v>14</v>
      </c>
      <c r="C55" s="2" t="s">
        <v>132</v>
      </c>
      <c r="D55" s="2"/>
      <c r="E55" s="5">
        <v>2.0</v>
      </c>
      <c r="F55" s="6">
        <v>4429.96</v>
      </c>
      <c r="G55" s="2" t="s">
        <v>209</v>
      </c>
      <c r="H55" s="2" t="s">
        <v>210</v>
      </c>
      <c r="I55" s="2" t="s">
        <v>211</v>
      </c>
    </row>
    <row r="56" ht="15.75" customHeight="1">
      <c r="A56" s="1">
        <v>45579.0</v>
      </c>
      <c r="B56" s="2" t="s">
        <v>14</v>
      </c>
      <c r="C56" s="2" t="s">
        <v>190</v>
      </c>
      <c r="D56" s="5">
        <v>120.94</v>
      </c>
      <c r="E56" s="5">
        <v>3.0</v>
      </c>
      <c r="F56" s="4"/>
      <c r="G56" s="2" t="s">
        <v>212</v>
      </c>
      <c r="H56" s="2" t="s">
        <v>213</v>
      </c>
      <c r="I56" s="2" t="s">
        <v>214</v>
      </c>
    </row>
    <row r="57" ht="15.75" customHeight="1">
      <c r="A57" s="1">
        <v>45579.0</v>
      </c>
      <c r="B57" s="2" t="s">
        <v>35</v>
      </c>
      <c r="C57" s="2" t="s">
        <v>94</v>
      </c>
      <c r="D57" s="5">
        <v>1950.45</v>
      </c>
      <c r="E57" s="5">
        <v>4.0</v>
      </c>
      <c r="F57" s="6">
        <v>7801.8</v>
      </c>
      <c r="G57" s="2" t="s">
        <v>215</v>
      </c>
      <c r="H57" s="2" t="s">
        <v>216</v>
      </c>
      <c r="I57" s="2" t="s">
        <v>217</v>
      </c>
    </row>
    <row r="58" ht="15.75" customHeight="1">
      <c r="A58" s="1">
        <v>45579.0</v>
      </c>
      <c r="B58" s="2" t="s">
        <v>14</v>
      </c>
      <c r="C58" s="2" t="s">
        <v>218</v>
      </c>
      <c r="D58" s="5">
        <v>2092.55</v>
      </c>
      <c r="E58" s="5">
        <v>5.0</v>
      </c>
      <c r="F58" s="6">
        <v>10462.75</v>
      </c>
      <c r="G58" s="2" t="s">
        <v>219</v>
      </c>
      <c r="H58" s="2" t="s">
        <v>220</v>
      </c>
      <c r="I58" s="2" t="s">
        <v>221</v>
      </c>
    </row>
    <row r="59" ht="15.75" customHeight="1">
      <c r="A59" s="1">
        <v>45579.0</v>
      </c>
      <c r="B59" s="2" t="s">
        <v>35</v>
      </c>
      <c r="C59" s="2" t="s">
        <v>10</v>
      </c>
      <c r="D59" s="5">
        <v>214.72</v>
      </c>
      <c r="E59" s="5">
        <v>3.0</v>
      </c>
      <c r="F59" s="6">
        <v>644.16</v>
      </c>
      <c r="G59" s="2" t="s">
        <v>222</v>
      </c>
      <c r="H59" s="2" t="s">
        <v>223</v>
      </c>
      <c r="I59" s="2" t="s">
        <v>224</v>
      </c>
    </row>
    <row r="60" ht="15.75" customHeight="1">
      <c r="A60" s="1">
        <v>45579.0</v>
      </c>
      <c r="B60" s="2" t="s">
        <v>58</v>
      </c>
      <c r="C60" s="2" t="s">
        <v>225</v>
      </c>
      <c r="D60" s="5">
        <v>1291.39</v>
      </c>
      <c r="E60" s="5">
        <v>3.0</v>
      </c>
      <c r="F60" s="6">
        <v>3874.17</v>
      </c>
      <c r="G60" s="2" t="s">
        <v>226</v>
      </c>
      <c r="H60" s="2" t="s">
        <v>227</v>
      </c>
      <c r="I60" s="2" t="s">
        <v>228</v>
      </c>
    </row>
    <row r="61" ht="15.75" customHeight="1">
      <c r="A61" s="1">
        <v>45579.0</v>
      </c>
      <c r="B61" s="3" t="s">
        <v>30</v>
      </c>
      <c r="C61" s="2" t="s">
        <v>229</v>
      </c>
      <c r="D61" s="5">
        <v>970.38</v>
      </c>
      <c r="E61" s="5">
        <v>5.0</v>
      </c>
      <c r="F61" s="6">
        <v>4851.9</v>
      </c>
      <c r="G61" s="2" t="s">
        <v>230</v>
      </c>
      <c r="H61" s="2" t="s">
        <v>231</v>
      </c>
      <c r="I61" s="2" t="s">
        <v>232</v>
      </c>
    </row>
    <row r="62" ht="15.75" customHeight="1">
      <c r="A62" s="1">
        <v>45579.0</v>
      </c>
      <c r="B62" s="2" t="s">
        <v>75</v>
      </c>
      <c r="C62" s="2" t="s">
        <v>233</v>
      </c>
      <c r="D62" s="5">
        <v>2101.48</v>
      </c>
      <c r="E62" s="5">
        <v>2.0</v>
      </c>
      <c r="F62" s="6">
        <v>4202.96</v>
      </c>
      <c r="G62" s="2" t="s">
        <v>234</v>
      </c>
      <c r="H62" s="2" t="s">
        <v>235</v>
      </c>
      <c r="I62" s="2" t="s">
        <v>236</v>
      </c>
    </row>
    <row r="63" ht="15.75" customHeight="1">
      <c r="A63" s="1">
        <v>45579.0</v>
      </c>
      <c r="B63" s="2" t="s">
        <v>14</v>
      </c>
      <c r="C63" s="2" t="s">
        <v>63</v>
      </c>
      <c r="D63" s="5">
        <v>302.84</v>
      </c>
      <c r="E63" s="5">
        <v>3.0</v>
      </c>
      <c r="F63" s="6">
        <v>908.52</v>
      </c>
      <c r="G63" s="2" t="s">
        <v>237</v>
      </c>
      <c r="H63" s="2" t="s">
        <v>238</v>
      </c>
      <c r="I63" s="2" t="s">
        <v>239</v>
      </c>
    </row>
    <row r="64" ht="15.75" customHeight="1">
      <c r="A64" s="1">
        <v>45579.0</v>
      </c>
      <c r="B64" s="2" t="s">
        <v>9</v>
      </c>
      <c r="C64" s="2" t="s">
        <v>15</v>
      </c>
      <c r="D64" s="5">
        <v>1421.57</v>
      </c>
      <c r="E64" s="5">
        <v>4.0</v>
      </c>
      <c r="F64" s="6">
        <v>5686.28</v>
      </c>
      <c r="G64" s="2" t="s">
        <v>240</v>
      </c>
      <c r="H64" s="2" t="s">
        <v>241</v>
      </c>
      <c r="I64" s="2" t="s">
        <v>242</v>
      </c>
    </row>
    <row r="65" ht="15.75" customHeight="1">
      <c r="A65" s="1">
        <v>45579.0</v>
      </c>
      <c r="B65" s="2" t="s">
        <v>9</v>
      </c>
      <c r="C65" s="2" t="s">
        <v>94</v>
      </c>
      <c r="D65" s="5">
        <v>1037.64</v>
      </c>
      <c r="E65" s="5">
        <v>3.0</v>
      </c>
      <c r="F65" s="6">
        <v>3112.92</v>
      </c>
      <c r="G65" s="2" t="s">
        <v>243</v>
      </c>
      <c r="H65" s="2" t="s">
        <v>244</v>
      </c>
      <c r="I65" s="7" t="s">
        <v>245</v>
      </c>
    </row>
    <row r="66" ht="15.75" customHeight="1">
      <c r="A66" s="1">
        <v>45579.0</v>
      </c>
      <c r="B66" s="2" t="s">
        <v>9</v>
      </c>
      <c r="C66" s="2" t="s">
        <v>139</v>
      </c>
      <c r="D66" s="5">
        <v>579.54</v>
      </c>
      <c r="E66" s="5">
        <v>3.0</v>
      </c>
      <c r="F66" s="6">
        <v>1738.62</v>
      </c>
      <c r="G66" s="2" t="s">
        <v>246</v>
      </c>
      <c r="H66" s="2" t="s">
        <v>247</v>
      </c>
      <c r="I66" s="2" t="s">
        <v>248</v>
      </c>
    </row>
    <row r="67" ht="15.75" customHeight="1">
      <c r="A67" s="1">
        <v>45579.0</v>
      </c>
      <c r="B67" s="2" t="s">
        <v>35</v>
      </c>
      <c r="C67" s="2" t="s">
        <v>182</v>
      </c>
      <c r="D67" s="5">
        <v>796.49</v>
      </c>
      <c r="E67" s="5">
        <v>3.0</v>
      </c>
      <c r="F67" s="6">
        <v>2389.47</v>
      </c>
      <c r="G67" s="2" t="s">
        <v>249</v>
      </c>
      <c r="H67" s="2" t="s">
        <v>250</v>
      </c>
      <c r="I67" s="2" t="s">
        <v>251</v>
      </c>
    </row>
    <row r="68" ht="15.75" customHeight="1">
      <c r="A68" s="1">
        <v>45579.0</v>
      </c>
      <c r="B68" s="2" t="s">
        <v>14</v>
      </c>
      <c r="C68" s="2" t="s">
        <v>125</v>
      </c>
      <c r="D68" s="5">
        <v>1838.04</v>
      </c>
      <c r="E68" s="5">
        <v>4.0</v>
      </c>
      <c r="F68" s="6">
        <v>7352.16</v>
      </c>
      <c r="G68" s="2" t="s">
        <v>252</v>
      </c>
      <c r="H68" s="2" t="s">
        <v>253</v>
      </c>
      <c r="I68" s="2" t="s">
        <v>254</v>
      </c>
    </row>
    <row r="69" ht="15.75" customHeight="1">
      <c r="A69" s="1">
        <v>45580.0</v>
      </c>
      <c r="B69" s="2" t="s">
        <v>14</v>
      </c>
      <c r="C69" s="2" t="s">
        <v>255</v>
      </c>
      <c r="D69" s="5">
        <v>1090.69</v>
      </c>
      <c r="E69" s="5">
        <v>1.0</v>
      </c>
      <c r="F69" s="6">
        <v>1090.69</v>
      </c>
      <c r="G69" s="2" t="s">
        <v>256</v>
      </c>
      <c r="H69" s="2" t="s">
        <v>257</v>
      </c>
      <c r="I69" s="2" t="s">
        <v>258</v>
      </c>
    </row>
    <row r="70" ht="15.75" customHeight="1">
      <c r="A70" s="1">
        <v>45580.0</v>
      </c>
      <c r="B70" s="2" t="s">
        <v>9</v>
      </c>
      <c r="C70" s="2" t="s">
        <v>259</v>
      </c>
      <c r="D70" s="5">
        <v>882.55</v>
      </c>
      <c r="E70" s="5">
        <v>5.0</v>
      </c>
      <c r="F70" s="6">
        <v>4412.75</v>
      </c>
      <c r="G70" s="2" t="s">
        <v>260</v>
      </c>
      <c r="H70" s="2" t="s">
        <v>261</v>
      </c>
      <c r="I70" s="2" t="s">
        <v>262</v>
      </c>
    </row>
    <row r="71" ht="15.75" customHeight="1">
      <c r="A71" s="1">
        <v>45580.0</v>
      </c>
      <c r="B71" s="3" t="s">
        <v>30</v>
      </c>
      <c r="C71" s="2" t="s">
        <v>36</v>
      </c>
      <c r="D71" s="5">
        <v>1909.2</v>
      </c>
      <c r="E71" s="5">
        <v>3.0</v>
      </c>
      <c r="F71" s="6">
        <v>5727.6</v>
      </c>
      <c r="G71" s="2" t="s">
        <v>263</v>
      </c>
      <c r="H71" s="2" t="s">
        <v>264</v>
      </c>
      <c r="I71" s="2" t="s">
        <v>265</v>
      </c>
    </row>
    <row r="72" ht="15.75" customHeight="1">
      <c r="A72" s="1">
        <v>45580.0</v>
      </c>
      <c r="B72" s="3" t="s">
        <v>30</v>
      </c>
      <c r="C72" s="2" t="s">
        <v>50</v>
      </c>
      <c r="D72" s="5">
        <v>2381.87</v>
      </c>
      <c r="E72" s="5">
        <v>1.0</v>
      </c>
      <c r="F72" s="6">
        <v>2381.87</v>
      </c>
      <c r="G72" s="2" t="s">
        <v>266</v>
      </c>
      <c r="H72" s="2" t="s">
        <v>267</v>
      </c>
      <c r="I72" s="2" t="s">
        <v>268</v>
      </c>
    </row>
    <row r="73" ht="15.75" customHeight="1">
      <c r="A73" s="1">
        <v>45580.0</v>
      </c>
      <c r="B73" s="2" t="s">
        <v>35</v>
      </c>
      <c r="C73" s="2" t="s">
        <v>182</v>
      </c>
      <c r="D73" s="5">
        <v>68.0</v>
      </c>
      <c r="E73" s="5">
        <v>3.0</v>
      </c>
      <c r="F73" s="6">
        <v>204.0</v>
      </c>
      <c r="G73" s="2" t="s">
        <v>269</v>
      </c>
      <c r="H73" s="2" t="s">
        <v>270</v>
      </c>
      <c r="I73" s="2" t="s">
        <v>271</v>
      </c>
    </row>
    <row r="74" ht="15.75" customHeight="1">
      <c r="A74" s="1">
        <v>45580.0</v>
      </c>
      <c r="B74" s="2" t="s">
        <v>75</v>
      </c>
      <c r="C74" s="2" t="s">
        <v>272</v>
      </c>
      <c r="D74" s="5">
        <v>571.73</v>
      </c>
      <c r="E74" s="5">
        <v>4.0</v>
      </c>
      <c r="F74" s="6">
        <v>2286.92</v>
      </c>
      <c r="G74" s="2" t="s">
        <v>273</v>
      </c>
      <c r="H74" s="2" t="s">
        <v>274</v>
      </c>
      <c r="I74" s="2" t="s">
        <v>275</v>
      </c>
    </row>
    <row r="75" ht="15.75" customHeight="1">
      <c r="A75" s="1">
        <v>45580.0</v>
      </c>
      <c r="B75" s="2" t="s">
        <v>14</v>
      </c>
      <c r="C75" s="2" t="s">
        <v>15</v>
      </c>
      <c r="D75" s="5">
        <v>2009.75</v>
      </c>
      <c r="E75" s="5">
        <v>2.0</v>
      </c>
      <c r="F75" s="6">
        <v>4019.5</v>
      </c>
      <c r="G75" s="2" t="s">
        <v>276</v>
      </c>
      <c r="H75" s="2" t="s">
        <v>277</v>
      </c>
      <c r="I75" s="2" t="s">
        <v>278</v>
      </c>
    </row>
    <row r="76" ht="15.75" customHeight="1">
      <c r="A76" s="1">
        <v>45580.0</v>
      </c>
      <c r="B76" s="2" t="s">
        <v>58</v>
      </c>
      <c r="C76" s="2" t="s">
        <v>71</v>
      </c>
      <c r="D76" s="5">
        <v>2289.42</v>
      </c>
      <c r="E76" s="5">
        <v>4.0</v>
      </c>
      <c r="F76" s="6">
        <v>9157.68</v>
      </c>
      <c r="G76" s="2" t="s">
        <v>279</v>
      </c>
      <c r="H76" s="2" t="s">
        <v>280</v>
      </c>
      <c r="I76" s="2" t="s">
        <v>281</v>
      </c>
    </row>
    <row r="77" ht="15.75" customHeight="1">
      <c r="A77" s="1">
        <v>45580.0</v>
      </c>
      <c r="B77" s="2" t="s">
        <v>9</v>
      </c>
      <c r="C77" s="2" t="s">
        <v>282</v>
      </c>
      <c r="D77" s="5">
        <v>1414.97</v>
      </c>
      <c r="E77" s="5">
        <v>1.0</v>
      </c>
      <c r="F77" s="6">
        <v>1414.97</v>
      </c>
      <c r="G77" s="2" t="s">
        <v>283</v>
      </c>
      <c r="H77" s="2" t="s">
        <v>284</v>
      </c>
      <c r="I77" s="2" t="s">
        <v>285</v>
      </c>
    </row>
    <row r="78" ht="15.75" customHeight="1">
      <c r="A78" s="1">
        <v>45580.0</v>
      </c>
      <c r="B78" s="2" t="s">
        <v>75</v>
      </c>
      <c r="C78" s="2" t="s">
        <v>190</v>
      </c>
      <c r="D78" s="5">
        <v>2332.8</v>
      </c>
      <c r="E78" s="5">
        <v>1.0</v>
      </c>
      <c r="F78" s="6">
        <v>2332.8</v>
      </c>
      <c r="G78" s="2" t="s">
        <v>286</v>
      </c>
      <c r="H78" s="2" t="s">
        <v>287</v>
      </c>
      <c r="I78" s="2" t="s">
        <v>288</v>
      </c>
    </row>
    <row r="79" ht="15.75" customHeight="1">
      <c r="A79" s="1">
        <v>45580.0</v>
      </c>
      <c r="B79" s="2" t="s">
        <v>75</v>
      </c>
      <c r="C79" s="2" t="s">
        <v>85</v>
      </c>
      <c r="D79" s="5">
        <v>379.5</v>
      </c>
      <c r="E79" s="5">
        <v>4.0</v>
      </c>
      <c r="F79" s="6">
        <v>1518.0</v>
      </c>
      <c r="G79" s="2" t="s">
        <v>289</v>
      </c>
      <c r="H79" s="2" t="s">
        <v>290</v>
      </c>
      <c r="I79" s="2" t="s">
        <v>291</v>
      </c>
    </row>
    <row r="80" ht="15.75" customHeight="1">
      <c r="A80" s="1">
        <v>45580.0</v>
      </c>
      <c r="B80" s="2" t="s">
        <v>9</v>
      </c>
      <c r="C80" s="2" t="s">
        <v>292</v>
      </c>
      <c r="D80" s="5">
        <v>2020.01</v>
      </c>
      <c r="E80" s="5">
        <v>5.0</v>
      </c>
      <c r="F80" s="6">
        <v>10100.05</v>
      </c>
      <c r="G80" s="2" t="s">
        <v>293</v>
      </c>
      <c r="H80" s="2" t="s">
        <v>294</v>
      </c>
      <c r="I80" s="2" t="s">
        <v>295</v>
      </c>
    </row>
    <row r="81" ht="15.75" customHeight="1">
      <c r="A81" s="1">
        <v>45580.0</v>
      </c>
      <c r="B81" s="2" t="s">
        <v>9</v>
      </c>
      <c r="C81" s="2" t="s">
        <v>15</v>
      </c>
      <c r="D81" s="5">
        <v>428.56</v>
      </c>
      <c r="E81" s="5">
        <v>1.0</v>
      </c>
      <c r="F81" s="6">
        <v>428.56</v>
      </c>
      <c r="G81" s="2" t="s">
        <v>296</v>
      </c>
      <c r="H81" s="2" t="s">
        <v>297</v>
      </c>
      <c r="I81" s="2" t="s">
        <v>298</v>
      </c>
    </row>
    <row r="82" ht="15.75" customHeight="1">
      <c r="A82" s="1">
        <v>45580.0</v>
      </c>
      <c r="B82" s="2" t="s">
        <v>75</v>
      </c>
      <c r="C82" s="2" t="s">
        <v>23</v>
      </c>
      <c r="D82" s="5">
        <v>1966.38</v>
      </c>
      <c r="E82" s="5">
        <v>5.0</v>
      </c>
      <c r="F82" s="6">
        <v>9831.9</v>
      </c>
      <c r="G82" s="2" t="s">
        <v>299</v>
      </c>
      <c r="H82" s="2" t="s">
        <v>300</v>
      </c>
      <c r="I82" s="2" t="s">
        <v>301</v>
      </c>
    </row>
    <row r="83" ht="15.75" customHeight="1">
      <c r="A83" s="1">
        <v>45580.0</v>
      </c>
      <c r="B83" s="2" t="s">
        <v>35</v>
      </c>
      <c r="C83" s="2" t="s">
        <v>54</v>
      </c>
      <c r="D83" s="5">
        <v>2242.47</v>
      </c>
      <c r="E83" s="5">
        <v>4.0</v>
      </c>
      <c r="F83" s="6">
        <v>8969.88</v>
      </c>
      <c r="G83" s="2" t="s">
        <v>302</v>
      </c>
      <c r="H83" s="2" t="s">
        <v>303</v>
      </c>
      <c r="I83" s="2" t="s">
        <v>304</v>
      </c>
    </row>
    <row r="84" ht="15.75" customHeight="1">
      <c r="A84" s="1">
        <v>45580.0</v>
      </c>
      <c r="B84" s="2" t="s">
        <v>35</v>
      </c>
      <c r="C84" s="2" t="s">
        <v>67</v>
      </c>
      <c r="D84" s="5">
        <v>1896.1</v>
      </c>
      <c r="E84" s="5">
        <v>2.0</v>
      </c>
      <c r="F84" s="6">
        <v>3792.2</v>
      </c>
      <c r="G84" s="2" t="s">
        <v>305</v>
      </c>
      <c r="H84" s="2" t="s">
        <v>306</v>
      </c>
      <c r="I84" s="2" t="s">
        <v>307</v>
      </c>
    </row>
    <row r="85" ht="15.75" customHeight="1">
      <c r="A85" s="1">
        <v>45580.0</v>
      </c>
      <c r="B85" s="2" t="s">
        <v>14</v>
      </c>
      <c r="C85" s="2" t="s">
        <v>218</v>
      </c>
      <c r="D85" s="5">
        <v>829.53</v>
      </c>
      <c r="E85" s="5">
        <v>4.0</v>
      </c>
      <c r="F85" s="6">
        <v>3318.12</v>
      </c>
      <c r="G85" s="2" t="s">
        <v>308</v>
      </c>
      <c r="H85" s="2" t="s">
        <v>309</v>
      </c>
      <c r="I85" s="2" t="s">
        <v>310</v>
      </c>
    </row>
    <row r="86" ht="15.75" customHeight="1">
      <c r="A86" s="1">
        <v>45580.0</v>
      </c>
      <c r="B86" s="2" t="s">
        <v>35</v>
      </c>
      <c r="C86" s="2" t="s">
        <v>311</v>
      </c>
      <c r="D86" s="5">
        <v>2377.34</v>
      </c>
      <c r="E86" s="5">
        <v>2.0</v>
      </c>
      <c r="F86" s="6">
        <v>4754.68</v>
      </c>
      <c r="G86" s="2" t="s">
        <v>312</v>
      </c>
      <c r="H86" s="2" t="s">
        <v>313</v>
      </c>
      <c r="I86" s="2" t="s">
        <v>314</v>
      </c>
    </row>
    <row r="87" ht="15.75" customHeight="1">
      <c r="A87" s="1">
        <v>45581.0</v>
      </c>
      <c r="B87" s="2" t="s">
        <v>58</v>
      </c>
      <c r="C87" s="2" t="s">
        <v>315</v>
      </c>
      <c r="D87" s="5">
        <v>1614.05</v>
      </c>
      <c r="E87" s="5">
        <v>1.0</v>
      </c>
      <c r="F87" s="6">
        <v>1614.05</v>
      </c>
      <c r="G87" s="2" t="s">
        <v>316</v>
      </c>
      <c r="H87" s="2" t="s">
        <v>317</v>
      </c>
      <c r="I87" s="2" t="s">
        <v>318</v>
      </c>
    </row>
    <row r="88" ht="15.75" customHeight="1">
      <c r="A88" s="1">
        <v>45581.0</v>
      </c>
      <c r="B88" s="2" t="s">
        <v>9</v>
      </c>
      <c r="C88" s="2" t="s">
        <v>319</v>
      </c>
      <c r="D88" s="5">
        <v>1805.81</v>
      </c>
      <c r="E88" s="5">
        <v>3.0</v>
      </c>
      <c r="F88" s="6">
        <v>5417.43</v>
      </c>
      <c r="G88" s="2" t="s">
        <v>320</v>
      </c>
      <c r="H88" s="2" t="s">
        <v>321</v>
      </c>
      <c r="I88" s="2" t="s">
        <v>322</v>
      </c>
    </row>
    <row r="89" ht="15.75" customHeight="1">
      <c r="A89" s="1">
        <v>45581.0</v>
      </c>
      <c r="B89" s="2" t="s">
        <v>58</v>
      </c>
      <c r="C89" s="2" t="s">
        <v>233</v>
      </c>
      <c r="D89" s="5">
        <v>1112.48</v>
      </c>
      <c r="E89" s="5">
        <v>2.0</v>
      </c>
      <c r="F89" s="6">
        <v>2224.96</v>
      </c>
      <c r="G89" s="2" t="s">
        <v>323</v>
      </c>
      <c r="H89" s="2" t="s">
        <v>324</v>
      </c>
      <c r="I89" s="2" t="s">
        <v>325</v>
      </c>
    </row>
    <row r="90" ht="15.75" customHeight="1">
      <c r="A90" s="1">
        <v>45581.0</v>
      </c>
      <c r="B90" s="2" t="s">
        <v>58</v>
      </c>
      <c r="C90" s="2" t="s">
        <v>282</v>
      </c>
      <c r="D90" s="5">
        <v>2264.15</v>
      </c>
      <c r="E90" s="5">
        <v>5.0</v>
      </c>
      <c r="F90" s="6">
        <v>11320.75</v>
      </c>
      <c r="G90" s="2" t="s">
        <v>326</v>
      </c>
      <c r="H90" s="2" t="s">
        <v>327</v>
      </c>
      <c r="I90" s="2" t="s">
        <v>328</v>
      </c>
    </row>
    <row r="91" ht="15.75" customHeight="1">
      <c r="A91" s="8">
        <v>45581.0</v>
      </c>
      <c r="B91" s="2" t="s">
        <v>75</v>
      </c>
      <c r="C91" s="2" t="s">
        <v>117</v>
      </c>
      <c r="D91" s="5">
        <v>833.39</v>
      </c>
      <c r="E91" s="5">
        <v>1.0</v>
      </c>
      <c r="F91" s="6">
        <v>833.39</v>
      </c>
      <c r="G91" s="2" t="s">
        <v>329</v>
      </c>
      <c r="H91" s="2" t="s">
        <v>330</v>
      </c>
      <c r="I91" s="2" t="s">
        <v>331</v>
      </c>
    </row>
    <row r="92" ht="15.75" customHeight="1">
      <c r="A92" s="1">
        <v>45581.0</v>
      </c>
      <c r="B92" s="2" t="s">
        <v>14</v>
      </c>
      <c r="C92" s="2" t="s">
        <v>218</v>
      </c>
      <c r="D92" s="2"/>
      <c r="E92" s="5">
        <v>5.0</v>
      </c>
      <c r="F92" s="6">
        <v>11708.85</v>
      </c>
      <c r="G92" s="2" t="s">
        <v>332</v>
      </c>
      <c r="H92" s="2" t="s">
        <v>333</v>
      </c>
      <c r="I92" s="2" t="s">
        <v>334</v>
      </c>
    </row>
    <row r="93" ht="15.75" customHeight="1">
      <c r="A93" s="1">
        <v>45581.0</v>
      </c>
      <c r="B93" s="2" t="s">
        <v>35</v>
      </c>
      <c r="C93" s="2" t="s">
        <v>167</v>
      </c>
      <c r="D93" s="5">
        <v>397.5</v>
      </c>
      <c r="E93" s="5">
        <v>2.0</v>
      </c>
      <c r="F93" s="6">
        <v>795.0</v>
      </c>
      <c r="G93" s="2" t="s">
        <v>335</v>
      </c>
      <c r="H93" s="2" t="s">
        <v>336</v>
      </c>
      <c r="I93" s="2" t="s">
        <v>337</v>
      </c>
    </row>
    <row r="94" ht="15.75" customHeight="1">
      <c r="A94" s="1">
        <v>45581.0</v>
      </c>
      <c r="B94" s="3" t="s">
        <v>30</v>
      </c>
      <c r="C94" s="2" t="s">
        <v>90</v>
      </c>
      <c r="D94" s="5">
        <v>100.75</v>
      </c>
      <c r="E94" s="5">
        <v>1.0</v>
      </c>
      <c r="F94" s="6">
        <v>100.75</v>
      </c>
      <c r="G94" s="2" t="s">
        <v>338</v>
      </c>
      <c r="H94" s="2" t="s">
        <v>339</v>
      </c>
      <c r="I94" s="2" t="s">
        <v>340</v>
      </c>
    </row>
    <row r="95" ht="15.75" customHeight="1">
      <c r="A95" s="1">
        <v>45581.0</v>
      </c>
      <c r="B95" s="3" t="s">
        <v>30</v>
      </c>
      <c r="C95" s="2" t="s">
        <v>272</v>
      </c>
      <c r="D95" s="5">
        <v>1268.91</v>
      </c>
      <c r="E95" s="5">
        <v>2.0</v>
      </c>
      <c r="F95" s="6">
        <v>2537.82</v>
      </c>
      <c r="G95" s="2" t="s">
        <v>341</v>
      </c>
      <c r="H95" s="2" t="s">
        <v>342</v>
      </c>
      <c r="I95" s="2" t="s">
        <v>343</v>
      </c>
    </row>
    <row r="96" ht="15.75" customHeight="1">
      <c r="A96" s="1">
        <v>45581.0</v>
      </c>
      <c r="B96" s="3" t="s">
        <v>30</v>
      </c>
      <c r="C96" s="2" t="s">
        <v>344</v>
      </c>
      <c r="D96" s="5">
        <v>903.41</v>
      </c>
      <c r="E96" s="5">
        <v>3.0</v>
      </c>
      <c r="F96" s="6">
        <v>2710.23</v>
      </c>
      <c r="G96" s="2" t="s">
        <v>345</v>
      </c>
      <c r="H96" s="2" t="s">
        <v>346</v>
      </c>
      <c r="I96" s="2" t="s">
        <v>347</v>
      </c>
    </row>
    <row r="97" ht="15.75" customHeight="1">
      <c r="A97" s="1">
        <v>45581.0</v>
      </c>
      <c r="B97" s="2" t="s">
        <v>35</v>
      </c>
      <c r="C97" s="2" t="s">
        <v>344</v>
      </c>
      <c r="D97" s="5">
        <v>259.75</v>
      </c>
      <c r="E97" s="5">
        <v>4.0</v>
      </c>
      <c r="F97" s="6">
        <v>1039.0</v>
      </c>
      <c r="G97" s="2" t="s">
        <v>348</v>
      </c>
      <c r="H97" s="2" t="s">
        <v>349</v>
      </c>
      <c r="I97" s="2" t="s">
        <v>350</v>
      </c>
    </row>
    <row r="98" ht="15.75" customHeight="1">
      <c r="A98" s="1">
        <v>45582.0</v>
      </c>
      <c r="B98" s="3" t="s">
        <v>30</v>
      </c>
      <c r="C98" s="2" t="s">
        <v>255</v>
      </c>
      <c r="D98" s="5">
        <v>798.65</v>
      </c>
      <c r="E98" s="5">
        <v>1.0</v>
      </c>
      <c r="F98" s="6">
        <v>798.65</v>
      </c>
      <c r="G98" s="2" t="s">
        <v>351</v>
      </c>
      <c r="H98" s="2" t="s">
        <v>352</v>
      </c>
      <c r="I98" s="2" t="s">
        <v>353</v>
      </c>
    </row>
    <row r="99" ht="15.75" customHeight="1">
      <c r="A99" s="1">
        <v>45582.0</v>
      </c>
      <c r="B99" s="2" t="s">
        <v>9</v>
      </c>
      <c r="C99" s="2" t="s">
        <v>85</v>
      </c>
      <c r="D99" s="5">
        <v>1937.4</v>
      </c>
      <c r="E99" s="5">
        <v>2.0</v>
      </c>
      <c r="F99" s="6">
        <v>3874.8</v>
      </c>
      <c r="G99" s="2" t="s">
        <v>354</v>
      </c>
      <c r="H99" s="2" t="s">
        <v>355</v>
      </c>
      <c r="I99" s="2" t="s">
        <v>356</v>
      </c>
    </row>
    <row r="100" ht="15.75" customHeight="1">
      <c r="A100" s="1">
        <v>45582.0</v>
      </c>
      <c r="B100" s="2" t="s">
        <v>35</v>
      </c>
      <c r="C100" s="2" t="s">
        <v>163</v>
      </c>
      <c r="D100" s="5">
        <v>1866.74</v>
      </c>
      <c r="E100" s="5">
        <v>4.0</v>
      </c>
      <c r="F100" s="6">
        <v>7466.96</v>
      </c>
      <c r="G100" s="2" t="s">
        <v>357</v>
      </c>
      <c r="H100" s="2" t="s">
        <v>358</v>
      </c>
      <c r="I100" s="2" t="s">
        <v>359</v>
      </c>
    </row>
    <row r="101" ht="15.75" customHeight="1">
      <c r="A101" s="1">
        <v>45582.0</v>
      </c>
      <c r="B101" s="3" t="s">
        <v>30</v>
      </c>
      <c r="C101" s="2" t="s">
        <v>139</v>
      </c>
      <c r="D101" s="5">
        <v>1093.69</v>
      </c>
      <c r="E101" s="5">
        <v>1.0</v>
      </c>
      <c r="F101" s="6">
        <v>1093.69</v>
      </c>
      <c r="G101" s="2" t="s">
        <v>360</v>
      </c>
      <c r="H101" s="2" t="s">
        <v>361</v>
      </c>
      <c r="I101" s="7" t="s">
        <v>362</v>
      </c>
    </row>
    <row r="102" ht="15.75" customHeight="1">
      <c r="A102" s="1">
        <v>45582.0</v>
      </c>
      <c r="B102" s="2" t="s">
        <v>9</v>
      </c>
      <c r="C102" s="2" t="s">
        <v>117</v>
      </c>
      <c r="D102" s="5">
        <v>2063.13</v>
      </c>
      <c r="E102" s="5">
        <v>4.0</v>
      </c>
      <c r="F102" s="6">
        <v>8252.52</v>
      </c>
      <c r="G102" s="2" t="s">
        <v>363</v>
      </c>
      <c r="H102" s="2" t="s">
        <v>364</v>
      </c>
      <c r="I102" s="2" t="s">
        <v>365</v>
      </c>
    </row>
    <row r="103" ht="15.75" customHeight="1">
      <c r="A103" s="1">
        <v>45582.0</v>
      </c>
      <c r="B103" s="2" t="s">
        <v>75</v>
      </c>
      <c r="C103" s="2" t="s">
        <v>125</v>
      </c>
      <c r="D103" s="5">
        <v>1091.59</v>
      </c>
      <c r="E103" s="5">
        <v>5.0</v>
      </c>
      <c r="F103" s="6">
        <v>5457.95</v>
      </c>
      <c r="G103" s="2" t="s">
        <v>366</v>
      </c>
      <c r="H103" s="2" t="s">
        <v>367</v>
      </c>
      <c r="I103" s="2" t="s">
        <v>368</v>
      </c>
    </row>
    <row r="104" ht="15.75" customHeight="1">
      <c r="A104" s="1">
        <v>45582.0</v>
      </c>
      <c r="B104" s="2" t="s">
        <v>14</v>
      </c>
      <c r="C104" s="2" t="s">
        <v>369</v>
      </c>
      <c r="D104" s="5">
        <v>271.81</v>
      </c>
      <c r="E104" s="5">
        <v>2.0</v>
      </c>
      <c r="F104" s="4"/>
      <c r="G104" s="2" t="s">
        <v>370</v>
      </c>
      <c r="H104" s="2" t="s">
        <v>371</v>
      </c>
      <c r="I104" s="2" t="s">
        <v>372</v>
      </c>
    </row>
    <row r="105" ht="15.75" customHeight="1">
      <c r="A105" s="1">
        <v>45582.0</v>
      </c>
      <c r="B105" s="3" t="s">
        <v>30</v>
      </c>
      <c r="C105" s="2" t="s">
        <v>373</v>
      </c>
      <c r="D105" s="5">
        <v>2392.27</v>
      </c>
      <c r="E105" s="5">
        <v>4.0</v>
      </c>
      <c r="F105" s="6">
        <v>9569.08</v>
      </c>
      <c r="G105" s="2" t="s">
        <v>374</v>
      </c>
      <c r="H105" s="2" t="s">
        <v>375</v>
      </c>
      <c r="I105" s="2" t="s">
        <v>376</v>
      </c>
    </row>
    <row r="106" ht="15.75" customHeight="1">
      <c r="A106" s="1">
        <v>45582.0</v>
      </c>
      <c r="B106" s="2" t="s">
        <v>58</v>
      </c>
      <c r="C106" s="2" t="s">
        <v>171</v>
      </c>
      <c r="D106" s="5">
        <v>2411.28</v>
      </c>
      <c r="E106" s="5">
        <v>4.0</v>
      </c>
      <c r="F106" s="6">
        <v>9645.12</v>
      </c>
      <c r="G106" s="2" t="s">
        <v>377</v>
      </c>
      <c r="H106" s="2" t="s">
        <v>378</v>
      </c>
      <c r="I106" s="2" t="s">
        <v>379</v>
      </c>
    </row>
    <row r="107" ht="15.75" customHeight="1">
      <c r="A107" s="1">
        <v>45582.0</v>
      </c>
      <c r="B107" s="3" t="s">
        <v>30</v>
      </c>
      <c r="C107" s="2" t="s">
        <v>54</v>
      </c>
      <c r="D107" s="5">
        <v>303.84</v>
      </c>
      <c r="E107" s="5">
        <v>1.0</v>
      </c>
      <c r="F107" s="6">
        <v>303.84</v>
      </c>
      <c r="G107" s="2" t="s">
        <v>380</v>
      </c>
      <c r="H107" s="2" t="s">
        <v>381</v>
      </c>
      <c r="I107" s="2" t="s">
        <v>382</v>
      </c>
    </row>
    <row r="108" ht="15.75" customHeight="1">
      <c r="A108" s="1">
        <v>45582.0</v>
      </c>
      <c r="B108" s="2" t="s">
        <v>75</v>
      </c>
      <c r="C108" s="2" t="s">
        <v>319</v>
      </c>
      <c r="D108" s="5">
        <v>228.78</v>
      </c>
      <c r="E108" s="5">
        <v>1.0</v>
      </c>
      <c r="F108" s="6">
        <v>228.78</v>
      </c>
      <c r="G108" s="2" t="s">
        <v>383</v>
      </c>
      <c r="H108" s="2" t="s">
        <v>384</v>
      </c>
      <c r="I108" s="2" t="s">
        <v>385</v>
      </c>
    </row>
    <row r="109" ht="15.75" customHeight="1">
      <c r="A109" s="1">
        <v>45583.0</v>
      </c>
      <c r="B109" s="2" t="s">
        <v>9</v>
      </c>
      <c r="C109" s="2" t="s">
        <v>59</v>
      </c>
      <c r="D109" s="5">
        <v>721.04</v>
      </c>
      <c r="E109" s="5">
        <v>4.0</v>
      </c>
      <c r="F109" s="6">
        <v>2884.16</v>
      </c>
      <c r="G109" s="2" t="s">
        <v>386</v>
      </c>
      <c r="H109" s="2" t="s">
        <v>387</v>
      </c>
      <c r="I109" s="2" t="s">
        <v>388</v>
      </c>
    </row>
    <row r="110" ht="15.75" customHeight="1">
      <c r="A110" s="1">
        <v>45583.0</v>
      </c>
      <c r="B110" s="2" t="s">
        <v>75</v>
      </c>
      <c r="C110" s="2" t="s">
        <v>389</v>
      </c>
      <c r="D110" s="5">
        <v>594.52</v>
      </c>
      <c r="E110" s="5">
        <v>2.0</v>
      </c>
      <c r="F110" s="6">
        <v>1189.04</v>
      </c>
      <c r="G110" s="2" t="s">
        <v>390</v>
      </c>
      <c r="H110" s="2" t="s">
        <v>391</v>
      </c>
      <c r="I110" s="2" t="s">
        <v>392</v>
      </c>
    </row>
    <row r="111" ht="15.75" customHeight="1">
      <c r="A111" s="1">
        <v>45583.0</v>
      </c>
      <c r="B111" s="2" t="s">
        <v>9</v>
      </c>
      <c r="C111" s="2" t="s">
        <v>344</v>
      </c>
      <c r="D111" s="5">
        <v>1612.96</v>
      </c>
      <c r="E111" s="5">
        <v>1.0</v>
      </c>
      <c r="F111" s="6">
        <v>1612.96</v>
      </c>
      <c r="G111" s="2" t="s">
        <v>393</v>
      </c>
      <c r="H111" s="2" t="s">
        <v>394</v>
      </c>
      <c r="I111" s="2" t="s">
        <v>395</v>
      </c>
    </row>
    <row r="112" ht="15.75" customHeight="1">
      <c r="A112" s="1">
        <v>45583.0</v>
      </c>
      <c r="B112" s="2" t="s">
        <v>14</v>
      </c>
      <c r="C112" s="2" t="s">
        <v>292</v>
      </c>
      <c r="D112" s="5">
        <v>169.21</v>
      </c>
      <c r="E112" s="5">
        <v>3.0</v>
      </c>
      <c r="F112" s="6">
        <v>507.63</v>
      </c>
      <c r="G112" s="2" t="s">
        <v>396</v>
      </c>
      <c r="H112" s="2" t="s">
        <v>397</v>
      </c>
      <c r="I112" s="2" t="s">
        <v>398</v>
      </c>
    </row>
    <row r="113" ht="15.75" customHeight="1">
      <c r="A113" s="1">
        <v>45583.0</v>
      </c>
      <c r="B113" s="2" t="s">
        <v>14</v>
      </c>
      <c r="C113" s="2" t="s">
        <v>399</v>
      </c>
      <c r="D113" s="5">
        <v>709.65</v>
      </c>
      <c r="E113" s="5">
        <v>3.0</v>
      </c>
      <c r="F113" s="6">
        <v>2128.95</v>
      </c>
      <c r="G113" s="2" t="s">
        <v>400</v>
      </c>
      <c r="H113" s="2" t="s">
        <v>401</v>
      </c>
      <c r="I113" s="2" t="s">
        <v>402</v>
      </c>
    </row>
    <row r="114" ht="15.75" customHeight="1">
      <c r="A114" s="1">
        <v>45583.0</v>
      </c>
      <c r="B114" s="2" t="s">
        <v>14</v>
      </c>
      <c r="C114" s="2" t="s">
        <v>163</v>
      </c>
      <c r="D114" s="5">
        <v>1750.63</v>
      </c>
      <c r="E114" s="5">
        <v>5.0</v>
      </c>
      <c r="F114" s="6">
        <v>8753.15</v>
      </c>
      <c r="G114" s="2" t="s">
        <v>403</v>
      </c>
      <c r="H114" s="2" t="s">
        <v>404</v>
      </c>
      <c r="I114" s="2" t="s">
        <v>405</v>
      </c>
    </row>
    <row r="115" ht="15.75" customHeight="1">
      <c r="A115" s="1">
        <v>45583.0</v>
      </c>
      <c r="B115" s="2" t="s">
        <v>58</v>
      </c>
      <c r="C115" s="2" t="s">
        <v>85</v>
      </c>
      <c r="D115" s="2"/>
      <c r="E115" s="5">
        <v>4.0</v>
      </c>
      <c r="F115" s="6">
        <v>6259.84</v>
      </c>
      <c r="G115" s="2" t="s">
        <v>406</v>
      </c>
      <c r="H115" s="2" t="s">
        <v>407</v>
      </c>
      <c r="I115" s="2" t="s">
        <v>408</v>
      </c>
    </row>
    <row r="116" ht="15.75" customHeight="1">
      <c r="A116" s="1">
        <v>45583.0</v>
      </c>
      <c r="B116" s="2" t="s">
        <v>35</v>
      </c>
      <c r="C116" s="2" t="s">
        <v>67</v>
      </c>
      <c r="D116" s="5">
        <v>1972.43</v>
      </c>
      <c r="E116" s="5">
        <v>5.0</v>
      </c>
      <c r="F116" s="6">
        <v>9862.15</v>
      </c>
      <c r="G116" s="2" t="s">
        <v>409</v>
      </c>
      <c r="H116" s="2" t="s">
        <v>410</v>
      </c>
      <c r="I116" s="2" t="s">
        <v>411</v>
      </c>
    </row>
    <row r="117" ht="15.75" customHeight="1">
      <c r="A117" s="1">
        <v>45583.0</v>
      </c>
      <c r="B117" s="3" t="s">
        <v>30</v>
      </c>
      <c r="C117" s="2" t="s">
        <v>10</v>
      </c>
      <c r="D117" s="5">
        <v>2431.8</v>
      </c>
      <c r="E117" s="5">
        <v>2.0</v>
      </c>
      <c r="F117" s="6">
        <v>4863.6</v>
      </c>
      <c r="G117" s="2" t="s">
        <v>412</v>
      </c>
      <c r="H117" s="2" t="s">
        <v>413</v>
      </c>
      <c r="I117" s="2" t="s">
        <v>414</v>
      </c>
    </row>
    <row r="118" ht="15.75" customHeight="1">
      <c r="A118" s="1">
        <v>45583.0</v>
      </c>
      <c r="B118" s="2" t="s">
        <v>58</v>
      </c>
      <c r="C118" s="2" t="s">
        <v>225</v>
      </c>
      <c r="D118" s="5">
        <v>904.01</v>
      </c>
      <c r="E118" s="5">
        <v>1.0</v>
      </c>
      <c r="F118" s="6">
        <v>904.01</v>
      </c>
      <c r="G118" s="2" t="s">
        <v>415</v>
      </c>
      <c r="H118" s="2" t="s">
        <v>416</v>
      </c>
      <c r="I118" s="2" t="s">
        <v>417</v>
      </c>
    </row>
    <row r="119" ht="15.75" customHeight="1">
      <c r="A119" s="1">
        <v>45583.0</v>
      </c>
      <c r="B119" s="2" t="s">
        <v>75</v>
      </c>
      <c r="C119" s="2" t="s">
        <v>311</v>
      </c>
      <c r="D119" s="5">
        <v>700.55</v>
      </c>
      <c r="E119" s="5">
        <v>5.0</v>
      </c>
      <c r="F119" s="6">
        <v>3502.75</v>
      </c>
      <c r="G119" s="2" t="s">
        <v>418</v>
      </c>
      <c r="H119" s="2" t="s">
        <v>419</v>
      </c>
      <c r="I119" s="2" t="s">
        <v>420</v>
      </c>
    </row>
    <row r="120" ht="15.75" customHeight="1">
      <c r="A120" s="1">
        <v>45583.0</v>
      </c>
      <c r="B120" s="2" t="s">
        <v>35</v>
      </c>
      <c r="C120" s="2" t="s">
        <v>23</v>
      </c>
      <c r="D120" s="5">
        <v>1034.4</v>
      </c>
      <c r="E120" s="5">
        <v>1.0</v>
      </c>
      <c r="F120" s="6">
        <v>1034.4</v>
      </c>
      <c r="G120" s="2" t="s">
        <v>421</v>
      </c>
      <c r="H120" s="2" t="s">
        <v>422</v>
      </c>
      <c r="I120" s="2" t="s">
        <v>423</v>
      </c>
    </row>
    <row r="121" ht="15.75" customHeight="1">
      <c r="A121" s="1">
        <v>45584.0</v>
      </c>
      <c r="B121" s="2" t="s">
        <v>75</v>
      </c>
      <c r="C121" s="2" t="s">
        <v>50</v>
      </c>
      <c r="D121" s="5">
        <v>902.5</v>
      </c>
      <c r="E121" s="5">
        <v>3.0</v>
      </c>
      <c r="F121" s="6">
        <v>2707.5</v>
      </c>
      <c r="G121" s="2" t="s">
        <v>424</v>
      </c>
      <c r="H121" s="2" t="s">
        <v>425</v>
      </c>
      <c r="I121" s="2" t="s">
        <v>426</v>
      </c>
    </row>
    <row r="122" ht="15.75" customHeight="1">
      <c r="A122" s="1">
        <v>45584.0</v>
      </c>
      <c r="B122" s="2" t="s">
        <v>75</v>
      </c>
      <c r="C122" s="2" t="s">
        <v>15</v>
      </c>
      <c r="D122" s="5">
        <v>713.75</v>
      </c>
      <c r="E122" s="5">
        <v>3.0</v>
      </c>
      <c r="F122" s="6">
        <v>2141.25</v>
      </c>
      <c r="G122" s="2" t="s">
        <v>427</v>
      </c>
      <c r="H122" s="2" t="s">
        <v>428</v>
      </c>
      <c r="I122" s="2" t="s">
        <v>429</v>
      </c>
    </row>
    <row r="123" ht="15.75" customHeight="1">
      <c r="A123" s="1">
        <v>45584.0</v>
      </c>
      <c r="B123" s="2" t="s">
        <v>9</v>
      </c>
      <c r="C123" s="2" t="s">
        <v>430</v>
      </c>
      <c r="D123" s="5">
        <v>2484.74</v>
      </c>
      <c r="E123" s="5">
        <v>5.0</v>
      </c>
      <c r="F123" s="6">
        <v>12423.7</v>
      </c>
      <c r="G123" s="2" t="s">
        <v>431</v>
      </c>
      <c r="H123" s="2" t="s">
        <v>432</v>
      </c>
      <c r="I123" s="2" t="s">
        <v>433</v>
      </c>
    </row>
    <row r="124" ht="15.75" customHeight="1">
      <c r="A124" s="1">
        <v>45584.0</v>
      </c>
      <c r="B124" s="2" t="s">
        <v>58</v>
      </c>
      <c r="C124" s="2" t="s">
        <v>163</v>
      </c>
      <c r="D124" s="5">
        <v>2182.83</v>
      </c>
      <c r="E124" s="5">
        <v>4.0</v>
      </c>
      <c r="F124" s="6">
        <v>8731.32</v>
      </c>
      <c r="G124" s="2" t="s">
        <v>434</v>
      </c>
      <c r="H124" s="2" t="s">
        <v>435</v>
      </c>
      <c r="I124" s="2" t="s">
        <v>436</v>
      </c>
    </row>
    <row r="125" ht="15.75" customHeight="1">
      <c r="A125" s="1">
        <v>45584.0</v>
      </c>
      <c r="B125" s="2" t="s">
        <v>58</v>
      </c>
      <c r="C125" s="2" t="s">
        <v>430</v>
      </c>
      <c r="D125" s="5">
        <v>2329.03</v>
      </c>
      <c r="E125" s="5">
        <v>4.0</v>
      </c>
      <c r="F125" s="6">
        <v>9316.12</v>
      </c>
      <c r="G125" s="2" t="s">
        <v>437</v>
      </c>
      <c r="H125" s="2" t="s">
        <v>438</v>
      </c>
      <c r="I125" s="2" t="s">
        <v>439</v>
      </c>
    </row>
    <row r="126" ht="15.75" customHeight="1">
      <c r="A126" s="1">
        <v>45584.0</v>
      </c>
      <c r="B126" s="2" t="s">
        <v>14</v>
      </c>
      <c r="C126" s="2" t="s">
        <v>31</v>
      </c>
      <c r="D126" s="5">
        <v>130.05</v>
      </c>
      <c r="E126" s="5">
        <v>1.0</v>
      </c>
      <c r="F126" s="6">
        <v>130.05</v>
      </c>
      <c r="G126" s="2" t="s">
        <v>440</v>
      </c>
      <c r="H126" s="2" t="s">
        <v>441</v>
      </c>
      <c r="I126" s="2" t="s">
        <v>442</v>
      </c>
    </row>
    <row r="127" ht="15.75" customHeight="1">
      <c r="A127" s="1">
        <v>45584.0</v>
      </c>
      <c r="B127" s="2" t="s">
        <v>58</v>
      </c>
      <c r="C127" s="2" t="s">
        <v>272</v>
      </c>
      <c r="D127" s="5">
        <v>1564.37</v>
      </c>
      <c r="E127" s="5">
        <v>1.0</v>
      </c>
      <c r="F127" s="6">
        <v>1564.37</v>
      </c>
      <c r="G127" s="2" t="s">
        <v>443</v>
      </c>
      <c r="H127" s="2" t="s">
        <v>444</v>
      </c>
      <c r="I127" s="2" t="s">
        <v>445</v>
      </c>
    </row>
    <row r="128" ht="15.75" customHeight="1">
      <c r="A128" s="1">
        <v>45584.0</v>
      </c>
      <c r="B128" s="2" t="s">
        <v>75</v>
      </c>
      <c r="C128" s="2" t="s">
        <v>15</v>
      </c>
      <c r="D128" s="5">
        <v>2317.94</v>
      </c>
      <c r="E128" s="5">
        <v>4.0</v>
      </c>
      <c r="F128" s="6">
        <v>9271.76</v>
      </c>
      <c r="G128" s="2" t="s">
        <v>446</v>
      </c>
      <c r="H128" s="2" t="s">
        <v>447</v>
      </c>
      <c r="I128" s="2" t="s">
        <v>448</v>
      </c>
    </row>
    <row r="129" ht="15.75" customHeight="1">
      <c r="A129" s="1">
        <v>45584.0</v>
      </c>
      <c r="B129" s="2" t="s">
        <v>14</v>
      </c>
      <c r="C129" s="2" t="s">
        <v>225</v>
      </c>
      <c r="D129" s="5">
        <v>722.95</v>
      </c>
      <c r="E129" s="5">
        <v>3.0</v>
      </c>
      <c r="F129" s="6">
        <v>2168.85</v>
      </c>
      <c r="G129" s="2" t="s">
        <v>449</v>
      </c>
      <c r="H129" s="2" t="s">
        <v>450</v>
      </c>
      <c r="I129" s="2" t="s">
        <v>451</v>
      </c>
    </row>
    <row r="130" ht="15.75" customHeight="1">
      <c r="A130" s="1">
        <v>45584.0</v>
      </c>
      <c r="B130" s="3" t="s">
        <v>30</v>
      </c>
      <c r="C130" s="2" t="s">
        <v>167</v>
      </c>
      <c r="D130" s="5">
        <v>242.27</v>
      </c>
      <c r="E130" s="5">
        <v>1.0</v>
      </c>
      <c r="F130" s="6">
        <v>242.27</v>
      </c>
      <c r="G130" s="2" t="s">
        <v>452</v>
      </c>
      <c r="H130" s="2" t="s">
        <v>453</v>
      </c>
      <c r="I130" s="2" t="s">
        <v>454</v>
      </c>
    </row>
    <row r="131" ht="15.75" customHeight="1">
      <c r="A131" s="1">
        <v>45584.0</v>
      </c>
      <c r="B131" s="2" t="s">
        <v>58</v>
      </c>
      <c r="C131" s="2" t="s">
        <v>36</v>
      </c>
      <c r="D131" s="5">
        <v>1279.5</v>
      </c>
      <c r="E131" s="5">
        <v>2.0</v>
      </c>
      <c r="F131" s="6">
        <v>2559.0</v>
      </c>
      <c r="G131" s="2" t="s">
        <v>455</v>
      </c>
      <c r="H131" s="2" t="s">
        <v>456</v>
      </c>
      <c r="I131" s="2" t="s">
        <v>457</v>
      </c>
    </row>
    <row r="132" ht="15.75" customHeight="1">
      <c r="A132" s="1">
        <v>45585.0</v>
      </c>
      <c r="B132" s="3" t="s">
        <v>30</v>
      </c>
      <c r="C132" s="2" t="s">
        <v>67</v>
      </c>
      <c r="D132" s="5">
        <v>2299.22</v>
      </c>
      <c r="E132" s="5">
        <v>5.0</v>
      </c>
      <c r="F132" s="6">
        <v>11496.1</v>
      </c>
      <c r="G132" s="2" t="s">
        <v>458</v>
      </c>
      <c r="H132" s="2" t="s">
        <v>459</v>
      </c>
      <c r="I132" s="2" t="s">
        <v>460</v>
      </c>
    </row>
    <row r="133" ht="15.75" customHeight="1">
      <c r="A133" s="1">
        <v>45585.0</v>
      </c>
      <c r="B133" s="3" t="s">
        <v>30</v>
      </c>
      <c r="C133" s="2" t="s">
        <v>40</v>
      </c>
      <c r="D133" s="5">
        <v>1077.13</v>
      </c>
      <c r="E133" s="5">
        <v>5.0</v>
      </c>
      <c r="F133" s="6">
        <v>5385.65</v>
      </c>
      <c r="G133" s="2" t="s">
        <v>461</v>
      </c>
      <c r="H133" s="2" t="s">
        <v>462</v>
      </c>
      <c r="I133" s="2" t="s">
        <v>463</v>
      </c>
    </row>
    <row r="134" ht="15.75" customHeight="1">
      <c r="A134" s="1">
        <v>45585.0</v>
      </c>
      <c r="B134" s="3" t="s">
        <v>30</v>
      </c>
      <c r="C134" s="2" t="s">
        <v>10</v>
      </c>
      <c r="D134" s="5">
        <v>1956.0</v>
      </c>
      <c r="E134" s="5">
        <v>5.0</v>
      </c>
      <c r="F134" s="6">
        <v>9780.0</v>
      </c>
      <c r="G134" s="2" t="s">
        <v>464</v>
      </c>
      <c r="H134" s="2" t="s">
        <v>465</v>
      </c>
      <c r="I134" s="2" t="s">
        <v>466</v>
      </c>
    </row>
    <row r="135" ht="15.75" customHeight="1">
      <c r="A135" s="1">
        <v>45585.0</v>
      </c>
      <c r="B135" s="2" t="s">
        <v>75</v>
      </c>
      <c r="C135" s="2" t="s">
        <v>132</v>
      </c>
      <c r="D135" s="5">
        <v>2224.57</v>
      </c>
      <c r="E135" s="5">
        <v>5.0</v>
      </c>
      <c r="F135" s="6">
        <v>11122.85</v>
      </c>
      <c r="G135" s="2" t="s">
        <v>467</v>
      </c>
      <c r="H135" s="2" t="s">
        <v>468</v>
      </c>
      <c r="I135" s="7" t="s">
        <v>469</v>
      </c>
    </row>
    <row r="136" ht="15.75" customHeight="1">
      <c r="A136" s="1">
        <v>45585.0</v>
      </c>
      <c r="B136" s="2" t="s">
        <v>89</v>
      </c>
      <c r="C136" s="2" t="s">
        <v>344</v>
      </c>
      <c r="D136" s="5">
        <v>1840.11</v>
      </c>
      <c r="E136" s="5">
        <v>1.0</v>
      </c>
      <c r="F136" s="6">
        <v>1840.11</v>
      </c>
      <c r="G136" s="2" t="s">
        <v>470</v>
      </c>
      <c r="H136" s="2" t="s">
        <v>471</v>
      </c>
      <c r="I136" s="2" t="s">
        <v>472</v>
      </c>
    </row>
    <row r="137" ht="15.75" customHeight="1">
      <c r="A137" s="1">
        <v>45585.0</v>
      </c>
      <c r="B137" s="3" t="s">
        <v>473</v>
      </c>
      <c r="C137" s="2" t="s">
        <v>311</v>
      </c>
      <c r="D137" s="5">
        <v>2081.9</v>
      </c>
      <c r="E137" s="5">
        <v>1.0</v>
      </c>
      <c r="F137" s="6">
        <v>2081.9</v>
      </c>
      <c r="G137" s="2" t="s">
        <v>474</v>
      </c>
      <c r="H137" s="2" t="s">
        <v>475</v>
      </c>
      <c r="I137" s="2" t="s">
        <v>476</v>
      </c>
    </row>
    <row r="138" ht="15.75" customHeight="1">
      <c r="A138" s="1">
        <v>45585.0</v>
      </c>
      <c r="B138" s="2" t="s">
        <v>58</v>
      </c>
      <c r="C138" s="2" t="s">
        <v>139</v>
      </c>
      <c r="D138" s="5">
        <v>320.64</v>
      </c>
      <c r="E138" s="5">
        <v>5.0</v>
      </c>
      <c r="F138" s="6">
        <v>1603.2</v>
      </c>
      <c r="G138" s="2" t="s">
        <v>477</v>
      </c>
      <c r="H138" s="2" t="s">
        <v>478</v>
      </c>
      <c r="I138" s="2" t="s">
        <v>479</v>
      </c>
    </row>
    <row r="139" ht="15.75" customHeight="1">
      <c r="A139" s="1">
        <v>45585.0</v>
      </c>
      <c r="B139" s="2" t="s">
        <v>58</v>
      </c>
      <c r="C139" s="2" t="s">
        <v>81</v>
      </c>
      <c r="D139" s="5">
        <v>318.76</v>
      </c>
      <c r="E139" s="5">
        <v>3.0</v>
      </c>
      <c r="F139" s="6">
        <v>956.28</v>
      </c>
      <c r="G139" s="2" t="s">
        <v>480</v>
      </c>
      <c r="H139" s="2" t="s">
        <v>481</v>
      </c>
      <c r="I139" s="7" t="s">
        <v>482</v>
      </c>
    </row>
    <row r="140" ht="15.75" customHeight="1">
      <c r="A140" s="1">
        <v>45585.0</v>
      </c>
      <c r="B140" s="3" t="s">
        <v>30</v>
      </c>
      <c r="C140" s="2" t="s">
        <v>139</v>
      </c>
      <c r="D140" s="5">
        <v>474.59</v>
      </c>
      <c r="E140" s="5">
        <v>4.0</v>
      </c>
      <c r="F140" s="6">
        <v>1898.36</v>
      </c>
      <c r="G140" s="2" t="s">
        <v>483</v>
      </c>
      <c r="H140" s="2" t="s">
        <v>484</v>
      </c>
      <c r="I140" s="2" t="s">
        <v>485</v>
      </c>
    </row>
    <row r="141" ht="15.75" customHeight="1">
      <c r="A141" s="1">
        <v>45585.0</v>
      </c>
      <c r="B141" s="2" t="s">
        <v>75</v>
      </c>
      <c r="C141" s="2" t="s">
        <v>71</v>
      </c>
      <c r="D141" s="5">
        <v>2430.43</v>
      </c>
      <c r="E141" s="5">
        <v>5.0</v>
      </c>
      <c r="F141" s="6">
        <v>12152.15</v>
      </c>
      <c r="G141" s="2" t="s">
        <v>486</v>
      </c>
      <c r="H141" s="2" t="s">
        <v>487</v>
      </c>
      <c r="I141" s="2" t="s">
        <v>488</v>
      </c>
    </row>
    <row r="142" ht="15.75" customHeight="1">
      <c r="A142" s="1">
        <v>45585.0</v>
      </c>
      <c r="B142" s="2" t="s">
        <v>35</v>
      </c>
      <c r="C142" s="2" t="s">
        <v>259</v>
      </c>
      <c r="D142" s="5">
        <v>270.83</v>
      </c>
      <c r="E142" s="5">
        <v>3.0</v>
      </c>
      <c r="F142" s="6">
        <v>812.49</v>
      </c>
      <c r="G142" s="2" t="s">
        <v>489</v>
      </c>
      <c r="H142" s="2" t="s">
        <v>490</v>
      </c>
      <c r="I142" s="2" t="s">
        <v>491</v>
      </c>
    </row>
    <row r="143" ht="15.75" customHeight="1">
      <c r="A143" s="1">
        <v>45586.0</v>
      </c>
      <c r="B143" s="2" t="s">
        <v>19</v>
      </c>
      <c r="C143" s="2" t="s">
        <v>117</v>
      </c>
      <c r="D143" s="5">
        <v>121.68</v>
      </c>
      <c r="E143" s="5">
        <v>2.0</v>
      </c>
      <c r="F143" s="6">
        <v>243.36</v>
      </c>
      <c r="G143" s="2" t="s">
        <v>492</v>
      </c>
      <c r="H143" s="2" t="s">
        <v>493</v>
      </c>
      <c r="I143" s="2" t="s">
        <v>494</v>
      </c>
    </row>
    <row r="144" ht="15.75" customHeight="1">
      <c r="A144" s="1">
        <v>45586.0</v>
      </c>
      <c r="B144" s="2" t="s">
        <v>75</v>
      </c>
      <c r="C144" s="2" t="s">
        <v>94</v>
      </c>
      <c r="D144" s="5">
        <v>392.86</v>
      </c>
      <c r="E144" s="5">
        <v>2.0</v>
      </c>
      <c r="F144" s="6">
        <v>785.72</v>
      </c>
      <c r="G144" s="2" t="s">
        <v>495</v>
      </c>
      <c r="H144" s="2" t="s">
        <v>496</v>
      </c>
      <c r="I144" s="2" t="s">
        <v>497</v>
      </c>
    </row>
    <row r="145" ht="15.75" customHeight="1">
      <c r="A145" s="1">
        <v>45586.0</v>
      </c>
      <c r="B145" s="2" t="s">
        <v>89</v>
      </c>
      <c r="C145" s="2" t="s">
        <v>344</v>
      </c>
      <c r="D145" s="5">
        <v>1807.14</v>
      </c>
      <c r="E145" s="5">
        <v>5.0</v>
      </c>
      <c r="F145" s="6">
        <v>9035.7</v>
      </c>
      <c r="G145" s="2" t="s">
        <v>498</v>
      </c>
      <c r="H145" s="2" t="s">
        <v>499</v>
      </c>
      <c r="I145" s="2" t="s">
        <v>500</v>
      </c>
    </row>
    <row r="146" ht="15.75" customHeight="1">
      <c r="A146" s="1">
        <v>45586.0</v>
      </c>
      <c r="B146" s="2" t="s">
        <v>58</v>
      </c>
      <c r="C146" s="2" t="s">
        <v>153</v>
      </c>
      <c r="D146" s="5">
        <v>1604.02</v>
      </c>
      <c r="E146" s="5">
        <v>5.0</v>
      </c>
      <c r="F146" s="6">
        <v>8020.1</v>
      </c>
      <c r="G146" s="2" t="s">
        <v>501</v>
      </c>
      <c r="H146" s="2" t="s">
        <v>502</v>
      </c>
      <c r="I146" s="2" t="s">
        <v>503</v>
      </c>
    </row>
    <row r="147" ht="15.75" customHeight="1">
      <c r="A147" s="1">
        <v>45586.0</v>
      </c>
      <c r="B147" s="2" t="s">
        <v>35</v>
      </c>
      <c r="C147" s="2" t="s">
        <v>272</v>
      </c>
      <c r="D147" s="5">
        <v>72.75</v>
      </c>
      <c r="E147" s="5">
        <v>3.0</v>
      </c>
      <c r="F147" s="6">
        <v>218.25</v>
      </c>
      <c r="G147" s="2" t="s">
        <v>504</v>
      </c>
      <c r="H147" s="2" t="s">
        <v>505</v>
      </c>
      <c r="I147" s="2" t="s">
        <v>506</v>
      </c>
    </row>
    <row r="148" ht="15.75" customHeight="1">
      <c r="A148" s="1">
        <v>45587.0</v>
      </c>
      <c r="B148" s="3" t="s">
        <v>30</v>
      </c>
      <c r="C148" s="2" t="s">
        <v>507</v>
      </c>
      <c r="D148" s="5">
        <v>1524.07</v>
      </c>
      <c r="E148" s="5">
        <v>1.0</v>
      </c>
      <c r="F148" s="6">
        <v>1524.07</v>
      </c>
      <c r="G148" s="2" t="s">
        <v>508</v>
      </c>
      <c r="H148" s="2" t="s">
        <v>509</v>
      </c>
      <c r="I148" s="2" t="s">
        <v>510</v>
      </c>
    </row>
    <row r="149" ht="15.75" customHeight="1">
      <c r="A149" s="1">
        <v>45587.0</v>
      </c>
      <c r="B149" s="2" t="s">
        <v>75</v>
      </c>
      <c r="C149" s="2" t="s">
        <v>81</v>
      </c>
      <c r="D149" s="5">
        <v>2392.65</v>
      </c>
      <c r="E149" s="5">
        <v>4.0</v>
      </c>
      <c r="F149" s="6">
        <v>9570.6</v>
      </c>
      <c r="G149" s="2" t="s">
        <v>511</v>
      </c>
      <c r="H149" s="2" t="s">
        <v>512</v>
      </c>
      <c r="I149" s="2" t="s">
        <v>513</v>
      </c>
    </row>
    <row r="150" ht="15.75" customHeight="1">
      <c r="A150" s="1">
        <v>45587.0</v>
      </c>
      <c r="B150" s="3" t="s">
        <v>473</v>
      </c>
      <c r="C150" s="2" t="s">
        <v>272</v>
      </c>
      <c r="D150" s="5">
        <v>1988.0</v>
      </c>
      <c r="E150" s="5">
        <v>2.0</v>
      </c>
      <c r="F150" s="6">
        <v>3976.0</v>
      </c>
      <c r="G150" s="2" t="s">
        <v>514</v>
      </c>
      <c r="H150" s="2" t="s">
        <v>515</v>
      </c>
      <c r="I150" s="2" t="s">
        <v>516</v>
      </c>
    </row>
    <row r="151" ht="15.75" customHeight="1">
      <c r="A151" s="1">
        <v>45587.0</v>
      </c>
      <c r="B151" s="2" t="s">
        <v>58</v>
      </c>
      <c r="C151" s="2" t="s">
        <v>229</v>
      </c>
      <c r="D151" s="5">
        <v>1703.47</v>
      </c>
      <c r="E151" s="5">
        <v>2.0</v>
      </c>
      <c r="F151" s="6">
        <v>3406.94</v>
      </c>
      <c r="G151" s="2" t="s">
        <v>517</v>
      </c>
      <c r="H151" s="2" t="s">
        <v>518</v>
      </c>
      <c r="I151" s="2" t="s">
        <v>519</v>
      </c>
    </row>
    <row r="152" ht="15.75" customHeight="1">
      <c r="A152" s="1">
        <v>45587.0</v>
      </c>
      <c r="B152" s="2" t="s">
        <v>58</v>
      </c>
      <c r="C152" s="2" t="s">
        <v>36</v>
      </c>
      <c r="D152" s="5">
        <v>205.25</v>
      </c>
      <c r="E152" s="5">
        <v>3.0</v>
      </c>
      <c r="F152" s="6">
        <v>615.75</v>
      </c>
      <c r="G152" s="2" t="s">
        <v>520</v>
      </c>
      <c r="H152" s="2" t="s">
        <v>521</v>
      </c>
      <c r="I152" s="2" t="s">
        <v>522</v>
      </c>
    </row>
    <row r="153" ht="15.75" customHeight="1">
      <c r="A153" s="1">
        <v>45587.0</v>
      </c>
      <c r="B153" s="2" t="s">
        <v>75</v>
      </c>
      <c r="C153" s="2" t="s">
        <v>255</v>
      </c>
      <c r="D153" s="5">
        <v>1882.22</v>
      </c>
      <c r="E153" s="5">
        <v>3.0</v>
      </c>
      <c r="F153" s="6">
        <v>5646.66</v>
      </c>
      <c r="G153" s="2" t="s">
        <v>523</v>
      </c>
      <c r="H153" s="2" t="s">
        <v>524</v>
      </c>
      <c r="I153" s="2" t="s">
        <v>525</v>
      </c>
    </row>
    <row r="154" ht="15.75" customHeight="1">
      <c r="A154" s="1">
        <v>45587.0</v>
      </c>
      <c r="B154" s="2" t="s">
        <v>14</v>
      </c>
      <c r="C154" s="2" t="s">
        <v>229</v>
      </c>
      <c r="D154" s="5">
        <v>419.18</v>
      </c>
      <c r="E154" s="5">
        <v>4.0</v>
      </c>
      <c r="F154" s="6">
        <v>1676.72</v>
      </c>
      <c r="G154" s="2" t="s">
        <v>526</v>
      </c>
      <c r="H154" s="2" t="s">
        <v>527</v>
      </c>
      <c r="I154" s="2" t="s">
        <v>528</v>
      </c>
    </row>
    <row r="155" ht="15.75" customHeight="1">
      <c r="A155" s="1">
        <v>45587.0</v>
      </c>
      <c r="B155" s="2" t="s">
        <v>35</v>
      </c>
      <c r="C155" s="2" t="s">
        <v>259</v>
      </c>
      <c r="D155" s="5">
        <v>1511.08</v>
      </c>
      <c r="E155" s="5">
        <v>2.0</v>
      </c>
      <c r="F155" s="6">
        <v>3022.16</v>
      </c>
      <c r="G155" s="2" t="s">
        <v>529</v>
      </c>
      <c r="H155" s="2" t="s">
        <v>530</v>
      </c>
      <c r="I155" s="2" t="s">
        <v>531</v>
      </c>
    </row>
    <row r="156" ht="15.75" customHeight="1">
      <c r="A156" s="1">
        <v>45587.0</v>
      </c>
      <c r="B156" s="2" t="s">
        <v>9</v>
      </c>
      <c r="C156" s="2" t="s">
        <v>292</v>
      </c>
      <c r="D156" s="5">
        <v>1736.9</v>
      </c>
      <c r="E156" s="5">
        <v>5.0</v>
      </c>
      <c r="F156" s="6">
        <v>8684.5</v>
      </c>
      <c r="G156" s="2" t="s">
        <v>532</v>
      </c>
      <c r="H156" s="2" t="s">
        <v>533</v>
      </c>
      <c r="I156" s="2" t="s">
        <v>534</v>
      </c>
    </row>
    <row r="157" ht="15.75" customHeight="1">
      <c r="A157" s="1">
        <v>45587.0</v>
      </c>
      <c r="B157" s="2" t="s">
        <v>14</v>
      </c>
      <c r="C157" s="2" t="s">
        <v>163</v>
      </c>
      <c r="D157" s="5">
        <v>2063.13</v>
      </c>
      <c r="E157" s="5">
        <v>4.0</v>
      </c>
      <c r="F157" s="6">
        <v>8252.52</v>
      </c>
      <c r="G157" s="2" t="s">
        <v>535</v>
      </c>
      <c r="H157" s="2" t="s">
        <v>536</v>
      </c>
      <c r="I157" s="2" t="s">
        <v>537</v>
      </c>
    </row>
    <row r="158" ht="15.75" customHeight="1">
      <c r="A158" s="1">
        <v>45587.0</v>
      </c>
      <c r="B158" s="3" t="s">
        <v>30</v>
      </c>
      <c r="C158" s="2" t="s">
        <v>229</v>
      </c>
      <c r="D158" s="5">
        <v>2240.54</v>
      </c>
      <c r="E158" s="5">
        <v>2.0</v>
      </c>
      <c r="F158" s="6">
        <v>4481.08</v>
      </c>
      <c r="G158" s="2" t="s">
        <v>538</v>
      </c>
      <c r="H158" s="2" t="s">
        <v>539</v>
      </c>
      <c r="I158" s="2" t="s">
        <v>540</v>
      </c>
    </row>
    <row r="159" ht="15.75" customHeight="1">
      <c r="A159" s="1">
        <v>45588.0</v>
      </c>
      <c r="B159" s="2" t="s">
        <v>9</v>
      </c>
      <c r="C159" s="2" t="s">
        <v>132</v>
      </c>
      <c r="D159" s="5">
        <v>1242.34</v>
      </c>
      <c r="E159" s="5">
        <v>5.0</v>
      </c>
      <c r="F159" s="6">
        <v>6211.7</v>
      </c>
      <c r="G159" s="2" t="s">
        <v>541</v>
      </c>
      <c r="H159" s="2" t="s">
        <v>542</v>
      </c>
      <c r="I159" s="2" t="s">
        <v>543</v>
      </c>
    </row>
    <row r="160" ht="15.75" customHeight="1">
      <c r="A160" s="1">
        <v>45588.0</v>
      </c>
      <c r="B160" s="2" t="s">
        <v>58</v>
      </c>
      <c r="C160" s="2" t="s">
        <v>399</v>
      </c>
      <c r="D160" s="5">
        <v>1657.62</v>
      </c>
      <c r="E160" s="5">
        <v>4.0</v>
      </c>
      <c r="F160" s="6">
        <v>6630.48</v>
      </c>
      <c r="G160" s="2" t="s">
        <v>544</v>
      </c>
      <c r="H160" s="2" t="s">
        <v>545</v>
      </c>
      <c r="I160" s="2" t="s">
        <v>546</v>
      </c>
    </row>
    <row r="161" ht="15.75" customHeight="1">
      <c r="A161" s="1">
        <v>45588.0</v>
      </c>
      <c r="B161" s="2" t="s">
        <v>35</v>
      </c>
      <c r="C161" s="2" t="s">
        <v>15</v>
      </c>
      <c r="D161" s="5">
        <v>499.22</v>
      </c>
      <c r="E161" s="5">
        <v>3.0</v>
      </c>
      <c r="F161" s="6">
        <v>1497.66</v>
      </c>
      <c r="G161" s="2" t="s">
        <v>547</v>
      </c>
      <c r="H161" s="2" t="s">
        <v>548</v>
      </c>
      <c r="I161" s="2" t="s">
        <v>549</v>
      </c>
    </row>
    <row r="162" ht="15.75" customHeight="1">
      <c r="A162" s="1">
        <v>45588.0</v>
      </c>
      <c r="B162" s="2" t="s">
        <v>58</v>
      </c>
      <c r="C162" s="2" t="s">
        <v>282</v>
      </c>
      <c r="D162" s="5">
        <v>348.21</v>
      </c>
      <c r="E162" s="5">
        <v>5.0</v>
      </c>
      <c r="F162" s="6">
        <v>1741.05</v>
      </c>
      <c r="G162" s="2" t="s">
        <v>550</v>
      </c>
      <c r="H162" s="2" t="s">
        <v>551</v>
      </c>
      <c r="I162" s="2" t="s">
        <v>552</v>
      </c>
    </row>
    <row r="163" ht="15.75" customHeight="1">
      <c r="A163" s="1">
        <v>45588.0</v>
      </c>
      <c r="B163" s="3" t="s">
        <v>30</v>
      </c>
      <c r="C163" s="2" t="s">
        <v>81</v>
      </c>
      <c r="D163" s="5">
        <v>324.46</v>
      </c>
      <c r="E163" s="5">
        <v>2.0</v>
      </c>
      <c r="F163" s="6">
        <v>648.92</v>
      </c>
      <c r="G163" s="2" t="s">
        <v>553</v>
      </c>
      <c r="H163" s="2" t="s">
        <v>554</v>
      </c>
      <c r="I163" s="2" t="s">
        <v>555</v>
      </c>
    </row>
    <row r="164" ht="15.75" customHeight="1">
      <c r="A164" s="1">
        <v>45588.0</v>
      </c>
      <c r="B164" s="2" t="s">
        <v>75</v>
      </c>
      <c r="C164" s="2" t="s">
        <v>54</v>
      </c>
      <c r="D164" s="5">
        <v>796.3</v>
      </c>
      <c r="E164" s="5">
        <v>4.0</v>
      </c>
      <c r="F164" s="6">
        <v>3185.2</v>
      </c>
      <c r="G164" s="2" t="s">
        <v>556</v>
      </c>
      <c r="H164" s="2" t="s">
        <v>557</v>
      </c>
      <c r="I164" s="2" t="s">
        <v>558</v>
      </c>
    </row>
    <row r="165" ht="15.75" customHeight="1">
      <c r="A165" s="1">
        <v>45588.0</v>
      </c>
      <c r="B165" s="2" t="s">
        <v>9</v>
      </c>
      <c r="C165" s="2" t="s">
        <v>190</v>
      </c>
      <c r="D165" s="5">
        <v>1327.27</v>
      </c>
      <c r="E165" s="5">
        <v>2.0</v>
      </c>
      <c r="F165" s="6">
        <v>2654.54</v>
      </c>
      <c r="G165" s="2" t="s">
        <v>559</v>
      </c>
      <c r="H165" s="2" t="s">
        <v>560</v>
      </c>
      <c r="I165" s="7" t="s">
        <v>561</v>
      </c>
    </row>
    <row r="166" ht="15.75" customHeight="1">
      <c r="A166" s="1">
        <v>45588.0</v>
      </c>
      <c r="B166" s="2" t="s">
        <v>35</v>
      </c>
      <c r="C166" s="2" t="s">
        <v>171</v>
      </c>
      <c r="D166" s="5">
        <v>2384.86</v>
      </c>
      <c r="E166" s="5">
        <v>4.0</v>
      </c>
      <c r="F166" s="6">
        <v>9539.44</v>
      </c>
      <c r="G166" s="2" t="s">
        <v>562</v>
      </c>
      <c r="H166" s="2" t="s">
        <v>563</v>
      </c>
      <c r="I166" s="2" t="s">
        <v>564</v>
      </c>
    </row>
    <row r="167" ht="15.75" customHeight="1">
      <c r="A167" s="1">
        <v>45588.0</v>
      </c>
      <c r="B167" s="2" t="s">
        <v>35</v>
      </c>
      <c r="C167" s="2" t="s">
        <v>90</v>
      </c>
      <c r="D167" s="5">
        <v>379.64</v>
      </c>
      <c r="E167" s="5">
        <v>3.0</v>
      </c>
      <c r="F167" s="6">
        <v>1138.92</v>
      </c>
      <c r="G167" s="2" t="s">
        <v>565</v>
      </c>
      <c r="H167" s="2" t="s">
        <v>566</v>
      </c>
      <c r="I167" s="2" t="s">
        <v>567</v>
      </c>
    </row>
    <row r="168" ht="15.75" customHeight="1">
      <c r="A168" s="1">
        <v>45588.0</v>
      </c>
      <c r="B168" s="2" t="s">
        <v>58</v>
      </c>
      <c r="C168" s="2" t="s">
        <v>31</v>
      </c>
      <c r="D168" s="5">
        <v>1582.73</v>
      </c>
      <c r="E168" s="5">
        <v>2.0</v>
      </c>
      <c r="F168" s="6">
        <v>3165.46</v>
      </c>
      <c r="G168" s="2" t="s">
        <v>568</v>
      </c>
      <c r="H168" s="2" t="s">
        <v>569</v>
      </c>
      <c r="I168" s="2" t="s">
        <v>570</v>
      </c>
    </row>
    <row r="169" ht="15.75" customHeight="1">
      <c r="A169" s="1">
        <v>45588.0</v>
      </c>
      <c r="B169" s="2" t="s">
        <v>75</v>
      </c>
      <c r="C169" s="2" t="s">
        <v>94</v>
      </c>
      <c r="D169" s="5">
        <v>1362.97</v>
      </c>
      <c r="E169" s="5">
        <v>1.0</v>
      </c>
      <c r="F169" s="6">
        <v>1362.97</v>
      </c>
      <c r="G169" s="2" t="s">
        <v>571</v>
      </c>
      <c r="H169" s="2" t="s">
        <v>572</v>
      </c>
      <c r="I169" s="2" t="s">
        <v>573</v>
      </c>
    </row>
    <row r="170" ht="15.75" customHeight="1">
      <c r="A170" s="1">
        <v>45588.0</v>
      </c>
      <c r="B170" s="2" t="s">
        <v>14</v>
      </c>
      <c r="C170" s="2" t="s">
        <v>574</v>
      </c>
      <c r="D170" s="5">
        <v>1817.8</v>
      </c>
      <c r="E170" s="5">
        <v>3.0</v>
      </c>
      <c r="F170" s="6">
        <v>5453.4</v>
      </c>
      <c r="G170" s="2" t="s">
        <v>575</v>
      </c>
      <c r="H170" s="2" t="s">
        <v>576</v>
      </c>
      <c r="I170" s="2" t="s">
        <v>577</v>
      </c>
    </row>
    <row r="171" ht="15.75" customHeight="1">
      <c r="A171" s="1">
        <v>45589.0</v>
      </c>
      <c r="B171" s="2" t="s">
        <v>75</v>
      </c>
      <c r="C171" s="2" t="s">
        <v>40</v>
      </c>
      <c r="D171" s="5">
        <v>1962.79</v>
      </c>
      <c r="E171" s="5">
        <v>3.0</v>
      </c>
      <c r="F171" s="6">
        <v>5888.37</v>
      </c>
      <c r="G171" s="2" t="s">
        <v>578</v>
      </c>
      <c r="H171" s="2" t="s">
        <v>579</v>
      </c>
      <c r="I171" s="2" t="s">
        <v>580</v>
      </c>
    </row>
    <row r="172" ht="15.75" customHeight="1">
      <c r="A172" s="1">
        <v>45589.0</v>
      </c>
      <c r="B172" s="2" t="s">
        <v>75</v>
      </c>
      <c r="C172" s="2" t="s">
        <v>36</v>
      </c>
      <c r="D172" s="5">
        <v>785.65</v>
      </c>
      <c r="E172" s="5">
        <v>1.0</v>
      </c>
      <c r="F172" s="6">
        <v>785.65</v>
      </c>
      <c r="G172" s="2" t="s">
        <v>581</v>
      </c>
      <c r="H172" s="2" t="s">
        <v>582</v>
      </c>
      <c r="I172" s="2" t="s">
        <v>583</v>
      </c>
    </row>
    <row r="173" ht="15.75" customHeight="1">
      <c r="A173" s="1">
        <v>45589.0</v>
      </c>
      <c r="B173" s="2" t="s">
        <v>35</v>
      </c>
      <c r="C173" s="2" t="s">
        <v>373</v>
      </c>
      <c r="D173" s="5">
        <v>747.11</v>
      </c>
      <c r="E173" s="5">
        <v>5.0</v>
      </c>
      <c r="F173" s="6">
        <v>3735.55</v>
      </c>
      <c r="G173" s="2" t="s">
        <v>584</v>
      </c>
      <c r="H173" s="2" t="s">
        <v>585</v>
      </c>
      <c r="I173" s="2" t="s">
        <v>586</v>
      </c>
    </row>
    <row r="174" ht="15.75" customHeight="1">
      <c r="A174" s="1">
        <v>45589.0</v>
      </c>
      <c r="B174" s="3" t="s">
        <v>30</v>
      </c>
      <c r="C174" s="2" t="s">
        <v>10</v>
      </c>
      <c r="D174" s="5">
        <v>1030.99</v>
      </c>
      <c r="E174" s="5">
        <v>1.0</v>
      </c>
      <c r="F174" s="6">
        <v>1030.99</v>
      </c>
      <c r="G174" s="2" t="s">
        <v>587</v>
      </c>
      <c r="H174" s="2" t="s">
        <v>588</v>
      </c>
      <c r="I174" s="2" t="s">
        <v>589</v>
      </c>
    </row>
    <row r="175" ht="15.75" customHeight="1">
      <c r="A175" s="1">
        <v>45589.0</v>
      </c>
      <c r="B175" s="2" t="s">
        <v>58</v>
      </c>
      <c r="C175" s="2" t="s">
        <v>54</v>
      </c>
      <c r="D175" s="5">
        <v>486.27</v>
      </c>
      <c r="E175" s="5">
        <v>5.0</v>
      </c>
      <c r="F175" s="6">
        <v>2431.35</v>
      </c>
      <c r="G175" s="2" t="s">
        <v>590</v>
      </c>
      <c r="H175" s="2" t="s">
        <v>591</v>
      </c>
      <c r="I175" s="2" t="s">
        <v>592</v>
      </c>
    </row>
    <row r="176" ht="15.75" customHeight="1">
      <c r="A176" s="1">
        <v>45589.0</v>
      </c>
      <c r="B176" s="2" t="s">
        <v>9</v>
      </c>
      <c r="C176" s="2" t="s">
        <v>167</v>
      </c>
      <c r="D176" s="5">
        <v>1518.43</v>
      </c>
      <c r="E176" s="5">
        <v>5.0</v>
      </c>
      <c r="F176" s="6">
        <v>7592.15</v>
      </c>
      <c r="G176" s="2" t="s">
        <v>593</v>
      </c>
      <c r="H176" s="2" t="s">
        <v>594</v>
      </c>
      <c r="I176" s="2" t="s">
        <v>595</v>
      </c>
    </row>
    <row r="177" ht="15.75" customHeight="1">
      <c r="A177" s="1">
        <v>45589.0</v>
      </c>
      <c r="B177" s="2" t="s">
        <v>14</v>
      </c>
      <c r="C177" s="2" t="s">
        <v>132</v>
      </c>
      <c r="D177" s="5">
        <v>2100.84</v>
      </c>
      <c r="E177" s="5">
        <v>5.0</v>
      </c>
      <c r="F177" s="6">
        <v>10504.2</v>
      </c>
      <c r="G177" s="2" t="s">
        <v>596</v>
      </c>
      <c r="H177" s="2" t="s">
        <v>597</v>
      </c>
      <c r="I177" s="2" t="s">
        <v>598</v>
      </c>
    </row>
    <row r="178" ht="15.75" customHeight="1">
      <c r="A178" s="1">
        <v>45589.0</v>
      </c>
      <c r="B178" s="2" t="s">
        <v>75</v>
      </c>
      <c r="C178" s="2" t="s">
        <v>272</v>
      </c>
      <c r="D178" s="5">
        <v>1261.22</v>
      </c>
      <c r="E178" s="5">
        <v>2.0</v>
      </c>
      <c r="F178" s="6">
        <v>2522.44</v>
      </c>
      <c r="G178" s="2" t="s">
        <v>599</v>
      </c>
      <c r="H178" s="2" t="s">
        <v>600</v>
      </c>
      <c r="I178" s="2" t="s">
        <v>601</v>
      </c>
    </row>
    <row r="179" ht="15.75" customHeight="1">
      <c r="A179" s="1">
        <v>45589.0</v>
      </c>
      <c r="B179" s="2" t="s">
        <v>75</v>
      </c>
      <c r="C179" s="2" t="s">
        <v>15</v>
      </c>
      <c r="D179" s="5">
        <v>2418.11</v>
      </c>
      <c r="E179" s="5">
        <v>1.0</v>
      </c>
      <c r="F179" s="6">
        <v>2418.11</v>
      </c>
      <c r="G179" s="2" t="s">
        <v>602</v>
      </c>
      <c r="H179" s="2" t="s">
        <v>603</v>
      </c>
      <c r="I179" s="2" t="s">
        <v>604</v>
      </c>
    </row>
    <row r="180" ht="15.75" customHeight="1">
      <c r="A180" s="1">
        <v>45589.0</v>
      </c>
      <c r="B180" s="3" t="s">
        <v>30</v>
      </c>
      <c r="C180" s="2" t="s">
        <v>67</v>
      </c>
      <c r="D180" s="5">
        <v>2499.77</v>
      </c>
      <c r="E180" s="5">
        <v>3.0</v>
      </c>
      <c r="F180" s="6">
        <v>7499.31</v>
      </c>
      <c r="G180" s="2" t="s">
        <v>605</v>
      </c>
      <c r="H180" s="2" t="s">
        <v>606</v>
      </c>
      <c r="I180" s="2" t="s">
        <v>607</v>
      </c>
    </row>
    <row r="181" ht="15.75" customHeight="1">
      <c r="A181" s="1">
        <v>45589.0</v>
      </c>
      <c r="B181" s="2" t="s">
        <v>75</v>
      </c>
      <c r="C181" s="2" t="s">
        <v>121</v>
      </c>
      <c r="D181" s="5">
        <v>1228.74</v>
      </c>
      <c r="E181" s="5">
        <v>2.0</v>
      </c>
      <c r="F181" s="6">
        <v>2457.48</v>
      </c>
      <c r="G181" s="2" t="s">
        <v>608</v>
      </c>
      <c r="H181" s="2" t="s">
        <v>609</v>
      </c>
      <c r="I181" s="2" t="s">
        <v>610</v>
      </c>
    </row>
    <row r="182" ht="15.75" customHeight="1">
      <c r="A182" s="1">
        <v>45589.0</v>
      </c>
      <c r="B182" s="3" t="s">
        <v>30</v>
      </c>
      <c r="C182" s="2" t="s">
        <v>272</v>
      </c>
      <c r="D182" s="5">
        <v>1901.74</v>
      </c>
      <c r="E182" s="5">
        <v>4.0</v>
      </c>
      <c r="F182" s="6">
        <v>7606.96</v>
      </c>
      <c r="G182" s="2" t="s">
        <v>611</v>
      </c>
      <c r="H182" s="2" t="s">
        <v>612</v>
      </c>
      <c r="I182" s="2" t="s">
        <v>613</v>
      </c>
    </row>
    <row r="183" ht="15.75" customHeight="1">
      <c r="A183" s="1">
        <v>45589.0</v>
      </c>
      <c r="B183" s="3" t="s">
        <v>30</v>
      </c>
      <c r="C183" s="2" t="s">
        <v>10</v>
      </c>
      <c r="D183" s="2"/>
      <c r="E183" s="5">
        <v>5.0</v>
      </c>
      <c r="F183" s="6">
        <v>3716.95</v>
      </c>
      <c r="G183" s="2" t="s">
        <v>614</v>
      </c>
      <c r="H183" s="2" t="s">
        <v>615</v>
      </c>
      <c r="I183" s="2" t="s">
        <v>616</v>
      </c>
    </row>
    <row r="184" ht="15.75" customHeight="1">
      <c r="A184" s="1">
        <v>45590.0</v>
      </c>
      <c r="B184" s="3" t="s">
        <v>30</v>
      </c>
      <c r="C184" s="2" t="s">
        <v>125</v>
      </c>
      <c r="D184" s="5">
        <v>2095.64</v>
      </c>
      <c r="E184" s="5">
        <v>5.0</v>
      </c>
      <c r="F184" s="6">
        <v>10478.2</v>
      </c>
      <c r="G184" s="2" t="s">
        <v>617</v>
      </c>
      <c r="H184" s="2" t="s">
        <v>618</v>
      </c>
      <c r="I184" s="2" t="s">
        <v>619</v>
      </c>
    </row>
    <row r="185" ht="15.75" customHeight="1">
      <c r="A185" s="1">
        <v>45590.0</v>
      </c>
      <c r="B185" s="2" t="s">
        <v>75</v>
      </c>
      <c r="C185" s="2" t="s">
        <v>233</v>
      </c>
      <c r="D185" s="5">
        <v>1062.11</v>
      </c>
      <c r="E185" s="5">
        <v>2.0</v>
      </c>
      <c r="F185" s="6">
        <v>2124.22</v>
      </c>
      <c r="G185" s="2" t="s">
        <v>620</v>
      </c>
      <c r="H185" s="2" t="s">
        <v>621</v>
      </c>
      <c r="I185" s="2" t="s">
        <v>622</v>
      </c>
    </row>
    <row r="186" ht="15.75" customHeight="1">
      <c r="A186" s="1">
        <v>45590.0</v>
      </c>
      <c r="B186" s="3" t="s">
        <v>30</v>
      </c>
      <c r="C186" s="2" t="s">
        <v>171</v>
      </c>
      <c r="D186" s="5">
        <v>1363.09</v>
      </c>
      <c r="E186" s="5">
        <v>5.0</v>
      </c>
      <c r="F186" s="6">
        <v>6815.45</v>
      </c>
      <c r="G186" s="2" t="s">
        <v>623</v>
      </c>
      <c r="H186" s="2" t="s">
        <v>624</v>
      </c>
      <c r="I186" s="2" t="s">
        <v>625</v>
      </c>
    </row>
    <row r="187" ht="15.75" customHeight="1">
      <c r="A187" s="1">
        <v>45590.0</v>
      </c>
      <c r="B187" s="3" t="s">
        <v>30</v>
      </c>
      <c r="C187" s="2" t="s">
        <v>50</v>
      </c>
      <c r="D187" s="5">
        <v>1468.39</v>
      </c>
      <c r="E187" s="5">
        <v>1.0</v>
      </c>
      <c r="F187" s="6">
        <v>1468.39</v>
      </c>
      <c r="G187" s="2" t="s">
        <v>626</v>
      </c>
      <c r="H187" s="2" t="s">
        <v>627</v>
      </c>
      <c r="I187" s="2" t="s">
        <v>628</v>
      </c>
    </row>
    <row r="188" ht="15.75" customHeight="1">
      <c r="A188" s="1">
        <v>45590.0</v>
      </c>
      <c r="B188" s="2" t="s">
        <v>35</v>
      </c>
      <c r="C188" s="2" t="s">
        <v>282</v>
      </c>
      <c r="D188" s="5">
        <v>1823.15</v>
      </c>
      <c r="E188" s="5">
        <v>5.0</v>
      </c>
      <c r="F188" s="6">
        <v>9115.75</v>
      </c>
      <c r="G188" s="2" t="s">
        <v>629</v>
      </c>
      <c r="H188" s="2" t="s">
        <v>630</v>
      </c>
      <c r="I188" s="2" t="s">
        <v>631</v>
      </c>
    </row>
    <row r="189" ht="15.75" customHeight="1">
      <c r="A189" s="1">
        <v>45590.0</v>
      </c>
      <c r="B189" s="2" t="s">
        <v>58</v>
      </c>
      <c r="C189" s="2" t="s">
        <v>430</v>
      </c>
      <c r="D189" s="5">
        <v>2242.64</v>
      </c>
      <c r="E189" s="5">
        <v>4.0</v>
      </c>
      <c r="F189" s="6">
        <v>8970.56</v>
      </c>
      <c r="G189" s="2" t="s">
        <v>632</v>
      </c>
      <c r="H189" s="2" t="s">
        <v>633</v>
      </c>
      <c r="I189" s="2" t="s">
        <v>634</v>
      </c>
    </row>
    <row r="190" ht="15.75" customHeight="1">
      <c r="A190" s="1">
        <v>45590.0</v>
      </c>
      <c r="B190" s="2" t="s">
        <v>58</v>
      </c>
      <c r="C190" s="2" t="s">
        <v>430</v>
      </c>
      <c r="D190" s="5">
        <v>1260.9</v>
      </c>
      <c r="E190" s="5">
        <v>3.0</v>
      </c>
      <c r="F190" s="6">
        <v>3782.7</v>
      </c>
      <c r="G190" s="2" t="s">
        <v>635</v>
      </c>
      <c r="H190" s="2" t="s">
        <v>636</v>
      </c>
      <c r="I190" s="2" t="s">
        <v>637</v>
      </c>
    </row>
    <row r="191" ht="15.75" customHeight="1">
      <c r="A191" s="1">
        <v>45590.0</v>
      </c>
      <c r="B191" s="2" t="s">
        <v>58</v>
      </c>
      <c r="C191" s="2" t="s">
        <v>59</v>
      </c>
      <c r="D191" s="5">
        <v>2382.64</v>
      </c>
      <c r="E191" s="5">
        <v>4.0</v>
      </c>
      <c r="F191" s="6">
        <v>9530.56</v>
      </c>
      <c r="G191" s="2" t="s">
        <v>638</v>
      </c>
      <c r="H191" s="2" t="s">
        <v>639</v>
      </c>
      <c r="I191" s="2" t="s">
        <v>640</v>
      </c>
    </row>
    <row r="192" ht="15.75" customHeight="1">
      <c r="A192" s="1">
        <v>45591.0</v>
      </c>
      <c r="B192" s="2" t="s">
        <v>14</v>
      </c>
      <c r="C192" s="2" t="s">
        <v>641</v>
      </c>
      <c r="D192" s="5">
        <v>919.0</v>
      </c>
      <c r="E192" s="5">
        <v>5.0</v>
      </c>
      <c r="F192" s="6">
        <v>4595.0</v>
      </c>
      <c r="G192" s="2" t="s">
        <v>642</v>
      </c>
      <c r="H192" s="2" t="s">
        <v>643</v>
      </c>
      <c r="I192" s="2" t="s">
        <v>644</v>
      </c>
    </row>
    <row r="193" ht="15.75" customHeight="1">
      <c r="A193" s="1">
        <v>45591.0</v>
      </c>
      <c r="B193" s="2" t="s">
        <v>14</v>
      </c>
      <c r="C193" s="2" t="s">
        <v>369</v>
      </c>
      <c r="D193" s="5">
        <v>1631.22</v>
      </c>
      <c r="E193" s="5">
        <v>5.0</v>
      </c>
      <c r="F193" s="6">
        <v>8156.1</v>
      </c>
      <c r="G193" s="2" t="s">
        <v>645</v>
      </c>
      <c r="H193" s="2" t="s">
        <v>646</v>
      </c>
      <c r="I193" s="2" t="s">
        <v>647</v>
      </c>
    </row>
    <row r="194" ht="15.75" customHeight="1">
      <c r="A194" s="1">
        <v>45591.0</v>
      </c>
      <c r="B194" s="2" t="s">
        <v>14</v>
      </c>
      <c r="C194" s="2" t="s">
        <v>71</v>
      </c>
      <c r="D194" s="5">
        <v>2101.18</v>
      </c>
      <c r="E194" s="5">
        <v>4.0</v>
      </c>
      <c r="F194" s="6">
        <v>8404.72</v>
      </c>
      <c r="G194" s="2" t="s">
        <v>648</v>
      </c>
      <c r="H194" s="2" t="s">
        <v>649</v>
      </c>
      <c r="I194" s="2" t="s">
        <v>650</v>
      </c>
    </row>
    <row r="195" ht="15.75" customHeight="1">
      <c r="A195" s="1">
        <v>45591.0</v>
      </c>
      <c r="B195" s="2" t="s">
        <v>14</v>
      </c>
      <c r="C195" s="2" t="s">
        <v>344</v>
      </c>
      <c r="D195" s="5">
        <v>1868.91</v>
      </c>
      <c r="E195" s="5">
        <v>5.0</v>
      </c>
      <c r="F195" s="6">
        <v>9344.55</v>
      </c>
      <c r="G195" s="2" t="s">
        <v>651</v>
      </c>
      <c r="H195" s="2" t="s">
        <v>652</v>
      </c>
      <c r="I195" s="2" t="s">
        <v>653</v>
      </c>
    </row>
    <row r="196" ht="15.75" customHeight="1">
      <c r="A196" s="1">
        <v>45591.0</v>
      </c>
      <c r="B196" s="2" t="s">
        <v>14</v>
      </c>
      <c r="C196" s="2" t="s">
        <v>10</v>
      </c>
      <c r="D196" s="5">
        <v>1898.24</v>
      </c>
      <c r="E196" s="5">
        <v>1.0</v>
      </c>
      <c r="F196" s="6">
        <v>1898.24</v>
      </c>
      <c r="G196" s="2" t="s">
        <v>654</v>
      </c>
      <c r="H196" s="2" t="s">
        <v>655</v>
      </c>
      <c r="I196" s="2" t="s">
        <v>656</v>
      </c>
    </row>
    <row r="197" ht="15.75" customHeight="1">
      <c r="A197" s="1">
        <v>45591.0</v>
      </c>
      <c r="B197" s="2" t="s">
        <v>75</v>
      </c>
      <c r="C197" s="2" t="s">
        <v>121</v>
      </c>
      <c r="D197" s="5">
        <v>611.99</v>
      </c>
      <c r="E197" s="5">
        <v>2.0</v>
      </c>
      <c r="F197" s="6">
        <v>1223.98</v>
      </c>
      <c r="G197" s="2" t="s">
        <v>657</v>
      </c>
      <c r="H197" s="2" t="s">
        <v>658</v>
      </c>
      <c r="I197" s="2" t="s">
        <v>659</v>
      </c>
    </row>
    <row r="198" ht="15.75" customHeight="1">
      <c r="A198" s="1">
        <v>45591.0</v>
      </c>
      <c r="B198" s="2" t="s">
        <v>75</v>
      </c>
      <c r="C198" s="2" t="s">
        <v>125</v>
      </c>
      <c r="D198" s="5">
        <v>403.48</v>
      </c>
      <c r="E198" s="5">
        <v>2.0</v>
      </c>
      <c r="F198" s="6">
        <v>806.96</v>
      </c>
      <c r="G198" s="2" t="s">
        <v>660</v>
      </c>
      <c r="H198" s="2" t="s">
        <v>661</v>
      </c>
      <c r="I198" s="2" t="s">
        <v>662</v>
      </c>
    </row>
    <row r="199" ht="15.75" customHeight="1">
      <c r="A199" s="1">
        <v>45591.0</v>
      </c>
      <c r="B199" s="2" t="s">
        <v>75</v>
      </c>
      <c r="C199" s="2" t="s">
        <v>90</v>
      </c>
      <c r="D199" s="5">
        <v>724.28</v>
      </c>
      <c r="E199" s="5">
        <v>4.0</v>
      </c>
      <c r="F199" s="6">
        <v>2897.12</v>
      </c>
      <c r="G199" s="2" t="s">
        <v>663</v>
      </c>
      <c r="H199" s="2" t="s">
        <v>664</v>
      </c>
      <c r="I199" s="2" t="s">
        <v>665</v>
      </c>
    </row>
    <row r="200" ht="15.75" customHeight="1">
      <c r="A200" s="1">
        <v>45591.0</v>
      </c>
      <c r="B200" s="2" t="s">
        <v>35</v>
      </c>
      <c r="C200" s="2" t="s">
        <v>666</v>
      </c>
      <c r="D200" s="5">
        <v>174.28</v>
      </c>
      <c r="E200" s="5">
        <v>1.0</v>
      </c>
      <c r="F200" s="6">
        <v>174.28</v>
      </c>
      <c r="G200" s="2" t="s">
        <v>667</v>
      </c>
      <c r="H200" s="2" t="s">
        <v>668</v>
      </c>
      <c r="I200" s="2" t="s">
        <v>669</v>
      </c>
    </row>
    <row r="201" ht="15.75" customHeight="1">
      <c r="A201" s="1">
        <v>45592.0</v>
      </c>
      <c r="B201" s="2" t="s">
        <v>75</v>
      </c>
      <c r="C201" s="2" t="s">
        <v>171</v>
      </c>
      <c r="D201" s="5">
        <v>273.42</v>
      </c>
      <c r="E201" s="5">
        <v>4.0</v>
      </c>
      <c r="F201" s="6">
        <v>1093.68</v>
      </c>
      <c r="G201" s="2" t="s">
        <v>670</v>
      </c>
      <c r="H201" s="2" t="s">
        <v>671</v>
      </c>
      <c r="I201" s="2" t="s">
        <v>672</v>
      </c>
    </row>
    <row r="202" ht="15.75" customHeight="1">
      <c r="A202" s="1">
        <v>45592.0</v>
      </c>
      <c r="B202" s="3" t="s">
        <v>30</v>
      </c>
      <c r="C202" s="2" t="s">
        <v>369</v>
      </c>
      <c r="D202" s="5">
        <v>1437.75</v>
      </c>
      <c r="E202" s="5">
        <v>5.0</v>
      </c>
      <c r="F202" s="6">
        <v>7188.75</v>
      </c>
      <c r="G202" s="2" t="s">
        <v>673</v>
      </c>
      <c r="H202" s="2" t="s">
        <v>674</v>
      </c>
      <c r="I202" s="2" t="s">
        <v>675</v>
      </c>
    </row>
    <row r="203" ht="15.75" customHeight="1">
      <c r="A203" s="1">
        <v>45592.0</v>
      </c>
      <c r="B203" s="2" t="s">
        <v>14</v>
      </c>
      <c r="C203" s="2" t="s">
        <v>36</v>
      </c>
      <c r="D203" s="5">
        <v>1092.45</v>
      </c>
      <c r="E203" s="5">
        <v>3.0</v>
      </c>
      <c r="F203" s="6">
        <v>3277.35</v>
      </c>
      <c r="G203" s="2" t="s">
        <v>676</v>
      </c>
      <c r="H203" s="2" t="s">
        <v>677</v>
      </c>
      <c r="I203" s="2" t="s">
        <v>678</v>
      </c>
    </row>
    <row r="204" ht="15.75" customHeight="1">
      <c r="A204" s="1">
        <v>45592.0</v>
      </c>
      <c r="B204" s="3" t="s">
        <v>30</v>
      </c>
      <c r="C204" s="2" t="s">
        <v>81</v>
      </c>
      <c r="D204" s="5">
        <v>233.85</v>
      </c>
      <c r="E204" s="5">
        <v>3.0</v>
      </c>
      <c r="F204" s="6">
        <v>701.55</v>
      </c>
      <c r="G204" s="2" t="s">
        <v>679</v>
      </c>
      <c r="H204" s="2" t="s">
        <v>680</v>
      </c>
      <c r="I204" s="2" t="s">
        <v>681</v>
      </c>
    </row>
    <row r="205" ht="15.75" customHeight="1">
      <c r="A205" s="1">
        <v>45592.0</v>
      </c>
      <c r="B205" s="2" t="s">
        <v>35</v>
      </c>
      <c r="C205" s="2" t="s">
        <v>10</v>
      </c>
      <c r="D205" s="5">
        <v>832.37</v>
      </c>
      <c r="E205" s="5">
        <v>2.0</v>
      </c>
      <c r="F205" s="6">
        <v>1664.74</v>
      </c>
      <c r="G205" s="2" t="s">
        <v>682</v>
      </c>
      <c r="H205" s="2" t="s">
        <v>683</v>
      </c>
      <c r="I205" s="2" t="s">
        <v>684</v>
      </c>
    </row>
    <row r="206" ht="15.75" customHeight="1">
      <c r="A206" s="1">
        <v>45592.0</v>
      </c>
      <c r="B206" s="2" t="s">
        <v>35</v>
      </c>
      <c r="C206" s="2" t="s">
        <v>63</v>
      </c>
      <c r="D206" s="5">
        <v>755.38</v>
      </c>
      <c r="E206" s="5">
        <v>4.0</v>
      </c>
      <c r="F206" s="6">
        <v>3021.52</v>
      </c>
      <c r="G206" s="2" t="s">
        <v>685</v>
      </c>
      <c r="H206" s="2" t="s">
        <v>686</v>
      </c>
      <c r="I206" s="2" t="s">
        <v>687</v>
      </c>
    </row>
    <row r="207" ht="15.75" customHeight="1">
      <c r="A207" s="1">
        <v>45592.0</v>
      </c>
      <c r="B207" s="3" t="s">
        <v>30</v>
      </c>
      <c r="C207" s="2" t="s">
        <v>85</v>
      </c>
      <c r="D207" s="5">
        <v>1237.66</v>
      </c>
      <c r="E207" s="5">
        <v>1.0</v>
      </c>
      <c r="F207" s="6">
        <v>1237.66</v>
      </c>
      <c r="G207" s="2" t="s">
        <v>688</v>
      </c>
      <c r="H207" s="2" t="s">
        <v>689</v>
      </c>
      <c r="I207" s="2" t="s">
        <v>690</v>
      </c>
    </row>
    <row r="208" ht="15.75" customHeight="1">
      <c r="A208" s="1">
        <v>45592.0</v>
      </c>
      <c r="B208" s="2" t="s">
        <v>58</v>
      </c>
      <c r="C208" s="2" t="s">
        <v>666</v>
      </c>
      <c r="D208" s="5">
        <v>986.08</v>
      </c>
      <c r="E208" s="5">
        <v>4.0</v>
      </c>
      <c r="F208" s="6">
        <v>3944.32</v>
      </c>
      <c r="G208" s="2" t="s">
        <v>691</v>
      </c>
      <c r="H208" s="2" t="s">
        <v>692</v>
      </c>
      <c r="I208" s="2" t="s">
        <v>693</v>
      </c>
    </row>
    <row r="209" ht="15.75" customHeight="1">
      <c r="A209" s="1">
        <v>45592.0</v>
      </c>
      <c r="B209" s="3" t="s">
        <v>30</v>
      </c>
      <c r="C209" s="2" t="s">
        <v>23</v>
      </c>
      <c r="D209" s="5">
        <v>1984.42</v>
      </c>
      <c r="E209" s="5">
        <v>4.0</v>
      </c>
      <c r="F209" s="6">
        <v>7937.68</v>
      </c>
      <c r="G209" s="2" t="s">
        <v>694</v>
      </c>
      <c r="H209" s="2" t="s">
        <v>695</v>
      </c>
      <c r="I209" s="2" t="s">
        <v>696</v>
      </c>
    </row>
    <row r="210" ht="15.75" customHeight="1">
      <c r="A210" s="1">
        <v>45593.0</v>
      </c>
      <c r="B210" s="2" t="s">
        <v>58</v>
      </c>
      <c r="C210" s="2" t="s">
        <v>430</v>
      </c>
      <c r="D210" s="5">
        <v>1537.12</v>
      </c>
      <c r="E210" s="5">
        <v>2.0</v>
      </c>
      <c r="F210" s="6">
        <v>3074.24</v>
      </c>
      <c r="G210" s="2" t="s">
        <v>697</v>
      </c>
      <c r="H210" s="2" t="s">
        <v>698</v>
      </c>
      <c r="I210" s="2" t="s">
        <v>699</v>
      </c>
    </row>
    <row r="211" ht="15.75" customHeight="1">
      <c r="A211" s="1">
        <v>45593.0</v>
      </c>
      <c r="B211" s="3" t="s">
        <v>30</v>
      </c>
      <c r="C211" s="2" t="s">
        <v>23</v>
      </c>
      <c r="D211" s="5">
        <v>1832.39</v>
      </c>
      <c r="E211" s="5">
        <v>4.0</v>
      </c>
      <c r="F211" s="6">
        <v>7329.56</v>
      </c>
      <c r="G211" s="2" t="s">
        <v>700</v>
      </c>
      <c r="H211" s="2" t="s">
        <v>701</v>
      </c>
      <c r="I211" s="2" t="s">
        <v>702</v>
      </c>
    </row>
    <row r="212" ht="15.75" customHeight="1">
      <c r="A212" s="1">
        <v>45593.0</v>
      </c>
      <c r="B212" s="2" t="s">
        <v>75</v>
      </c>
      <c r="C212" s="2" t="s">
        <v>163</v>
      </c>
      <c r="D212" s="5">
        <v>1834.12</v>
      </c>
      <c r="E212" s="5">
        <v>1.0</v>
      </c>
      <c r="F212" s="6">
        <v>1834.12</v>
      </c>
      <c r="G212" s="2" t="s">
        <v>703</v>
      </c>
      <c r="H212" s="2" t="s">
        <v>704</v>
      </c>
      <c r="I212" s="2" t="s">
        <v>705</v>
      </c>
    </row>
    <row r="213" ht="15.75" customHeight="1">
      <c r="A213" s="1">
        <v>45593.0</v>
      </c>
      <c r="B213" s="2" t="s">
        <v>9</v>
      </c>
      <c r="C213" s="2" t="s">
        <v>186</v>
      </c>
      <c r="D213" s="5">
        <v>1779.34</v>
      </c>
      <c r="E213" s="5">
        <v>3.0</v>
      </c>
      <c r="F213" s="6">
        <v>5338.02</v>
      </c>
      <c r="G213" s="2" t="s">
        <v>706</v>
      </c>
      <c r="H213" s="2" t="s">
        <v>707</v>
      </c>
      <c r="I213" s="2" t="s">
        <v>708</v>
      </c>
    </row>
    <row r="214" ht="15.75" customHeight="1">
      <c r="A214" s="1">
        <v>45593.0</v>
      </c>
      <c r="B214" s="3" t="s">
        <v>30</v>
      </c>
      <c r="C214" s="2" t="s">
        <v>163</v>
      </c>
      <c r="D214" s="5">
        <v>2484.65</v>
      </c>
      <c r="E214" s="5">
        <v>2.0</v>
      </c>
      <c r="F214" s="6">
        <v>4969.3</v>
      </c>
      <c r="G214" s="2" t="s">
        <v>709</v>
      </c>
      <c r="H214" s="2" t="s">
        <v>710</v>
      </c>
      <c r="I214" s="2" t="s">
        <v>711</v>
      </c>
    </row>
    <row r="215" ht="15.75" customHeight="1">
      <c r="A215" s="1">
        <v>45593.0</v>
      </c>
      <c r="B215" s="2" t="s">
        <v>35</v>
      </c>
      <c r="C215" s="2" t="s">
        <v>225</v>
      </c>
      <c r="D215" s="5">
        <v>371.09</v>
      </c>
      <c r="E215" s="5">
        <v>4.0</v>
      </c>
      <c r="F215" s="6">
        <v>1484.36</v>
      </c>
      <c r="G215" s="2" t="s">
        <v>712</v>
      </c>
      <c r="H215" s="2" t="s">
        <v>713</v>
      </c>
      <c r="I215" s="2" t="s">
        <v>714</v>
      </c>
    </row>
    <row r="216" ht="15.75" customHeight="1">
      <c r="A216" s="1">
        <v>45593.0</v>
      </c>
      <c r="B216" s="2" t="s">
        <v>14</v>
      </c>
      <c r="C216" s="2" t="s">
        <v>132</v>
      </c>
      <c r="D216" s="5">
        <v>2493.45</v>
      </c>
      <c r="E216" s="5">
        <v>2.0</v>
      </c>
      <c r="F216" s="6">
        <v>4986.9</v>
      </c>
      <c r="G216" s="2" t="s">
        <v>715</v>
      </c>
      <c r="H216" s="2" t="s">
        <v>716</v>
      </c>
      <c r="I216" s="2" t="s">
        <v>717</v>
      </c>
    </row>
    <row r="217" ht="15.75" customHeight="1">
      <c r="A217" s="1">
        <v>45593.0</v>
      </c>
      <c r="B217" s="2" t="s">
        <v>58</v>
      </c>
      <c r="C217" s="2" t="s">
        <v>272</v>
      </c>
      <c r="D217" s="5">
        <v>1010.17</v>
      </c>
      <c r="E217" s="5">
        <v>1.0</v>
      </c>
      <c r="F217" s="6">
        <v>1010.17</v>
      </c>
      <c r="G217" s="2" t="s">
        <v>718</v>
      </c>
      <c r="H217" s="2" t="s">
        <v>719</v>
      </c>
      <c r="I217" s="2" t="s">
        <v>720</v>
      </c>
    </row>
    <row r="218" ht="15.75" customHeight="1">
      <c r="A218" s="1">
        <v>45593.0</v>
      </c>
      <c r="B218" s="2" t="s">
        <v>14</v>
      </c>
      <c r="C218" s="2" t="s">
        <v>225</v>
      </c>
      <c r="D218" s="5">
        <v>2472.61</v>
      </c>
      <c r="E218" s="5">
        <v>5.0</v>
      </c>
      <c r="F218" s="6">
        <v>12363.05</v>
      </c>
      <c r="G218" s="2" t="s">
        <v>721</v>
      </c>
      <c r="H218" s="2" t="s">
        <v>722</v>
      </c>
      <c r="I218" s="2" t="s">
        <v>723</v>
      </c>
    </row>
    <row r="219" ht="15.75" customHeight="1">
      <c r="A219" s="1">
        <v>45594.0</v>
      </c>
      <c r="B219" s="2" t="s">
        <v>58</v>
      </c>
      <c r="C219" s="2" t="s">
        <v>259</v>
      </c>
      <c r="D219" s="5">
        <v>1741.09</v>
      </c>
      <c r="E219" s="5">
        <v>4.0</v>
      </c>
      <c r="F219" s="6">
        <v>6964.36</v>
      </c>
      <c r="G219" s="2" t="s">
        <v>724</v>
      </c>
      <c r="H219" s="2" t="s">
        <v>725</v>
      </c>
      <c r="I219" s="2" t="s">
        <v>726</v>
      </c>
    </row>
    <row r="220" ht="15.75" customHeight="1">
      <c r="A220" s="1">
        <v>45594.0</v>
      </c>
      <c r="B220" s="3" t="s">
        <v>30</v>
      </c>
      <c r="C220" s="2" t="s">
        <v>117</v>
      </c>
      <c r="D220" s="5">
        <v>1290.52</v>
      </c>
      <c r="E220" s="5">
        <v>3.0</v>
      </c>
      <c r="F220" s="6">
        <v>3871.56</v>
      </c>
      <c r="G220" s="2" t="s">
        <v>727</v>
      </c>
      <c r="H220" s="2" t="s">
        <v>728</v>
      </c>
      <c r="I220" s="2" t="s">
        <v>729</v>
      </c>
    </row>
    <row r="221" ht="15.75" customHeight="1">
      <c r="A221" s="1">
        <v>45594.0</v>
      </c>
      <c r="B221" s="2" t="s">
        <v>58</v>
      </c>
      <c r="C221" s="2" t="s">
        <v>125</v>
      </c>
      <c r="D221" s="5">
        <v>1598.45</v>
      </c>
      <c r="E221" s="5">
        <v>3.0</v>
      </c>
      <c r="F221" s="6">
        <v>4795.35</v>
      </c>
      <c r="G221" s="2" t="s">
        <v>730</v>
      </c>
      <c r="H221" s="2" t="s">
        <v>731</v>
      </c>
      <c r="I221" s="2" t="s">
        <v>732</v>
      </c>
    </row>
    <row r="222" ht="15.75" customHeight="1">
      <c r="A222" s="1">
        <v>45594.0</v>
      </c>
      <c r="B222" s="2" t="s">
        <v>35</v>
      </c>
      <c r="C222" s="2" t="s">
        <v>63</v>
      </c>
      <c r="D222" s="5">
        <v>1156.44</v>
      </c>
      <c r="E222" s="5">
        <v>1.0</v>
      </c>
      <c r="F222" s="6">
        <v>1156.44</v>
      </c>
      <c r="G222" s="2" t="s">
        <v>733</v>
      </c>
      <c r="H222" s="2" t="s">
        <v>734</v>
      </c>
      <c r="I222" s="2" t="s">
        <v>735</v>
      </c>
    </row>
    <row r="223" ht="15.75" customHeight="1">
      <c r="A223" s="1">
        <v>45594.0</v>
      </c>
      <c r="B223" s="2" t="s">
        <v>14</v>
      </c>
      <c r="C223" s="2" t="s">
        <v>31</v>
      </c>
      <c r="D223" s="5">
        <v>288.29</v>
      </c>
      <c r="E223" s="5">
        <v>3.0</v>
      </c>
      <c r="F223" s="6">
        <v>864.87</v>
      </c>
      <c r="G223" s="2" t="s">
        <v>736</v>
      </c>
      <c r="H223" s="2" t="s">
        <v>737</v>
      </c>
      <c r="I223" s="2" t="s">
        <v>738</v>
      </c>
    </row>
    <row r="224" ht="15.75" customHeight="1">
      <c r="A224" s="1">
        <v>45594.0</v>
      </c>
      <c r="B224" s="2" t="s">
        <v>75</v>
      </c>
      <c r="C224" s="2" t="s">
        <v>182</v>
      </c>
      <c r="D224" s="5">
        <v>1164.32</v>
      </c>
      <c r="E224" s="5">
        <v>3.0</v>
      </c>
      <c r="F224" s="6">
        <v>3492.96</v>
      </c>
      <c r="G224" s="2" t="s">
        <v>739</v>
      </c>
      <c r="H224" s="2" t="s">
        <v>740</v>
      </c>
      <c r="I224" s="2" t="s">
        <v>741</v>
      </c>
    </row>
    <row r="225" ht="15.75" customHeight="1">
      <c r="A225" s="1">
        <v>45594.0</v>
      </c>
      <c r="B225" s="2" t="s">
        <v>58</v>
      </c>
      <c r="C225" s="2" t="s">
        <v>36</v>
      </c>
      <c r="D225" s="5">
        <v>429.21</v>
      </c>
      <c r="E225" s="5">
        <v>5.0</v>
      </c>
      <c r="F225" s="6">
        <v>2146.05</v>
      </c>
      <c r="G225" s="2" t="s">
        <v>742</v>
      </c>
      <c r="H225" s="2" t="s">
        <v>743</v>
      </c>
      <c r="I225" s="2" t="s">
        <v>744</v>
      </c>
    </row>
    <row r="226" ht="15.75" customHeight="1">
      <c r="A226" s="1">
        <v>45594.0</v>
      </c>
      <c r="B226" s="2" t="s">
        <v>75</v>
      </c>
      <c r="C226" s="2" t="s">
        <v>218</v>
      </c>
      <c r="D226" s="5">
        <v>847.32</v>
      </c>
      <c r="E226" s="5">
        <v>5.0</v>
      </c>
      <c r="F226" s="6">
        <v>4236.6</v>
      </c>
      <c r="G226" s="2" t="s">
        <v>745</v>
      </c>
      <c r="H226" s="2" t="s">
        <v>746</v>
      </c>
      <c r="I226" s="2" t="s">
        <v>747</v>
      </c>
    </row>
    <row r="227" ht="15.75" customHeight="1">
      <c r="A227" s="1">
        <v>45594.0</v>
      </c>
      <c r="B227" s="3" t="s">
        <v>30</v>
      </c>
      <c r="C227" s="2" t="s">
        <v>36</v>
      </c>
      <c r="D227" s="5">
        <v>509.58</v>
      </c>
      <c r="E227" s="5">
        <v>3.0</v>
      </c>
      <c r="F227" s="6">
        <v>1528.74</v>
      </c>
      <c r="G227" s="2" t="s">
        <v>748</v>
      </c>
      <c r="H227" s="2" t="s">
        <v>749</v>
      </c>
      <c r="I227" s="2" t="s">
        <v>750</v>
      </c>
    </row>
    <row r="228" ht="15.75" customHeight="1">
      <c r="A228" s="1">
        <v>45594.0</v>
      </c>
      <c r="B228" s="2" t="s">
        <v>58</v>
      </c>
      <c r="C228" s="2" t="s">
        <v>54</v>
      </c>
      <c r="D228" s="5">
        <v>2248.35</v>
      </c>
      <c r="E228" s="5">
        <v>5.0</v>
      </c>
      <c r="F228" s="6">
        <v>11241.75</v>
      </c>
      <c r="G228" s="2" t="s">
        <v>751</v>
      </c>
      <c r="H228" s="2" t="s">
        <v>752</v>
      </c>
      <c r="I228" s="2" t="s">
        <v>753</v>
      </c>
    </row>
    <row r="229" ht="15.75" customHeight="1">
      <c r="A229" s="1">
        <v>45594.0</v>
      </c>
      <c r="B229" s="3" t="s">
        <v>30</v>
      </c>
      <c r="C229" s="2" t="s">
        <v>282</v>
      </c>
      <c r="D229" s="5">
        <v>2388.79</v>
      </c>
      <c r="E229" s="5">
        <v>2.0</v>
      </c>
      <c r="F229" s="6">
        <v>4777.58</v>
      </c>
      <c r="G229" s="2" t="s">
        <v>754</v>
      </c>
      <c r="H229" s="2" t="s">
        <v>755</v>
      </c>
      <c r="I229" s="2" t="s">
        <v>756</v>
      </c>
    </row>
    <row r="230" ht="15.75" customHeight="1">
      <c r="A230" s="1">
        <v>45594.0</v>
      </c>
      <c r="B230" s="3" t="s">
        <v>473</v>
      </c>
      <c r="C230" s="2" t="s">
        <v>225</v>
      </c>
      <c r="D230" s="5">
        <v>2343.81</v>
      </c>
      <c r="E230" s="5">
        <v>4.0</v>
      </c>
      <c r="F230" s="6">
        <v>9375.24</v>
      </c>
      <c r="G230" s="2" t="s">
        <v>757</v>
      </c>
      <c r="H230" s="2" t="s">
        <v>758</v>
      </c>
      <c r="I230" s="2" t="s">
        <v>759</v>
      </c>
    </row>
    <row r="231" ht="15.75" customHeight="1">
      <c r="A231" s="1">
        <v>45594.0</v>
      </c>
      <c r="B231" s="2" t="s">
        <v>14</v>
      </c>
      <c r="C231" s="2" t="s">
        <v>218</v>
      </c>
      <c r="D231" s="5">
        <v>140.58</v>
      </c>
      <c r="E231" s="5">
        <v>3.0</v>
      </c>
      <c r="F231" s="6">
        <v>421.74</v>
      </c>
      <c r="G231" s="2" t="s">
        <v>760</v>
      </c>
      <c r="H231" s="2" t="s">
        <v>761</v>
      </c>
      <c r="I231" s="2" t="s">
        <v>762</v>
      </c>
    </row>
    <row r="232" ht="15.75" customHeight="1">
      <c r="A232" s="1">
        <v>45594.0</v>
      </c>
      <c r="B232" s="3" t="s">
        <v>30</v>
      </c>
      <c r="C232" s="2" t="s">
        <v>121</v>
      </c>
      <c r="D232" s="5">
        <v>1292.41</v>
      </c>
      <c r="E232" s="5">
        <v>5.0</v>
      </c>
      <c r="F232" s="6">
        <v>6462.05</v>
      </c>
      <c r="G232" s="2" t="s">
        <v>763</v>
      </c>
      <c r="H232" s="2" t="s">
        <v>764</v>
      </c>
      <c r="I232" s="2" t="s">
        <v>765</v>
      </c>
    </row>
    <row r="233" ht="15.75" customHeight="1">
      <c r="A233" s="1">
        <v>45595.0</v>
      </c>
      <c r="B233" s="2" t="s">
        <v>58</v>
      </c>
      <c r="C233" s="2" t="s">
        <v>163</v>
      </c>
      <c r="D233" s="5">
        <v>1099.54</v>
      </c>
      <c r="E233" s="5">
        <v>2.0</v>
      </c>
      <c r="F233" s="6">
        <v>2199.08</v>
      </c>
      <c r="G233" s="2" t="s">
        <v>766</v>
      </c>
      <c r="H233" s="2" t="s">
        <v>767</v>
      </c>
      <c r="I233" s="2" t="s">
        <v>768</v>
      </c>
    </row>
    <row r="234" ht="15.75" customHeight="1">
      <c r="A234" s="1">
        <v>45595.0</v>
      </c>
      <c r="B234" s="2" t="s">
        <v>75</v>
      </c>
      <c r="C234" s="2" t="s">
        <v>31</v>
      </c>
      <c r="D234" s="5">
        <v>2317.48</v>
      </c>
      <c r="E234" s="5">
        <v>1.0</v>
      </c>
      <c r="F234" s="6">
        <v>2317.48</v>
      </c>
      <c r="G234" s="2" t="s">
        <v>769</v>
      </c>
      <c r="H234" s="2" t="s">
        <v>770</v>
      </c>
      <c r="I234" s="2" t="s">
        <v>771</v>
      </c>
    </row>
    <row r="235" ht="15.75" customHeight="1">
      <c r="A235" s="1">
        <v>45595.0</v>
      </c>
      <c r="B235" s="2" t="s">
        <v>58</v>
      </c>
      <c r="C235" s="2" t="s">
        <v>94</v>
      </c>
      <c r="D235" s="5">
        <v>797.71</v>
      </c>
      <c r="E235" s="5">
        <v>1.0</v>
      </c>
      <c r="F235" s="6">
        <v>797.71</v>
      </c>
      <c r="G235" s="2" t="s">
        <v>772</v>
      </c>
      <c r="H235" s="2" t="s">
        <v>773</v>
      </c>
      <c r="I235" s="2" t="s">
        <v>774</v>
      </c>
    </row>
    <row r="236" ht="15.75" customHeight="1">
      <c r="A236" s="1">
        <v>45595.0</v>
      </c>
      <c r="B236" s="2" t="s">
        <v>35</v>
      </c>
      <c r="C236" s="2" t="s">
        <v>255</v>
      </c>
      <c r="D236" s="5">
        <v>1861.0</v>
      </c>
      <c r="E236" s="5">
        <v>5.0</v>
      </c>
      <c r="F236" s="6">
        <v>9305.0</v>
      </c>
      <c r="G236" s="2" t="s">
        <v>775</v>
      </c>
      <c r="H236" s="2" t="s">
        <v>776</v>
      </c>
      <c r="I236" s="2" t="s">
        <v>777</v>
      </c>
    </row>
    <row r="237" ht="15.75" customHeight="1">
      <c r="A237" s="1">
        <v>45595.0</v>
      </c>
      <c r="B237" s="2" t="s">
        <v>35</v>
      </c>
      <c r="C237" s="2" t="s">
        <v>59</v>
      </c>
      <c r="D237" s="5">
        <v>201.31</v>
      </c>
      <c r="E237" s="5">
        <v>5.0</v>
      </c>
      <c r="F237" s="6">
        <v>1006.55</v>
      </c>
      <c r="G237" s="2" t="s">
        <v>778</v>
      </c>
      <c r="H237" s="2" t="s">
        <v>779</v>
      </c>
      <c r="I237" s="2" t="s">
        <v>780</v>
      </c>
    </row>
    <row r="238" ht="15.75" customHeight="1">
      <c r="A238" s="1">
        <v>45596.0</v>
      </c>
      <c r="B238" s="2" t="s">
        <v>89</v>
      </c>
      <c r="C238" s="2" t="s">
        <v>163</v>
      </c>
      <c r="D238" s="5">
        <v>1889.28</v>
      </c>
      <c r="E238" s="5">
        <v>4.0</v>
      </c>
      <c r="F238" s="6">
        <v>7557.12</v>
      </c>
      <c r="G238" s="2" t="s">
        <v>781</v>
      </c>
      <c r="H238" s="2" t="s">
        <v>782</v>
      </c>
      <c r="I238" s="2" t="s">
        <v>783</v>
      </c>
    </row>
    <row r="239" ht="15.75" customHeight="1">
      <c r="A239" s="1">
        <v>45596.0</v>
      </c>
      <c r="B239" s="2" t="s">
        <v>14</v>
      </c>
      <c r="C239" s="2" t="s">
        <v>344</v>
      </c>
      <c r="D239" s="5">
        <v>1451.3</v>
      </c>
      <c r="E239" s="5">
        <v>2.0</v>
      </c>
      <c r="F239" s="6">
        <v>2902.6</v>
      </c>
      <c r="G239" s="2" t="s">
        <v>784</v>
      </c>
      <c r="H239" s="2" t="s">
        <v>785</v>
      </c>
      <c r="I239" s="2" t="s">
        <v>786</v>
      </c>
    </row>
    <row r="240" ht="15.75" customHeight="1">
      <c r="A240" s="1">
        <v>45596.0</v>
      </c>
      <c r="B240" s="2" t="s">
        <v>35</v>
      </c>
      <c r="C240" s="2" t="s">
        <v>63</v>
      </c>
      <c r="D240" s="5">
        <v>2266.71</v>
      </c>
      <c r="E240" s="5">
        <v>2.0</v>
      </c>
      <c r="F240" s="6">
        <v>4533.42</v>
      </c>
      <c r="G240" s="2" t="s">
        <v>787</v>
      </c>
      <c r="H240" s="2" t="s">
        <v>788</v>
      </c>
      <c r="I240" s="2" t="s">
        <v>789</v>
      </c>
    </row>
    <row r="241" ht="15.75" customHeight="1">
      <c r="A241" s="1">
        <v>45596.0</v>
      </c>
      <c r="B241" s="2" t="s">
        <v>14</v>
      </c>
      <c r="C241" s="2" t="s">
        <v>67</v>
      </c>
      <c r="D241" s="5">
        <v>287.48</v>
      </c>
      <c r="E241" s="5">
        <v>4.0</v>
      </c>
      <c r="F241" s="6">
        <v>1149.92</v>
      </c>
      <c r="G241" s="2" t="s">
        <v>790</v>
      </c>
      <c r="H241" s="2" t="s">
        <v>791</v>
      </c>
      <c r="I241" s="2" t="s">
        <v>792</v>
      </c>
    </row>
    <row r="242" ht="15.75" customHeight="1">
      <c r="A242" s="1">
        <v>45596.0</v>
      </c>
      <c r="B242" s="2" t="s">
        <v>75</v>
      </c>
      <c r="C242" s="2" t="s">
        <v>319</v>
      </c>
      <c r="D242" s="5">
        <v>1758.16</v>
      </c>
      <c r="E242" s="5">
        <v>5.0</v>
      </c>
      <c r="F242" s="6">
        <v>8790.8</v>
      </c>
      <c r="G242" s="2" t="s">
        <v>793</v>
      </c>
      <c r="H242" s="2" t="s">
        <v>794</v>
      </c>
      <c r="I242" s="2" t="s">
        <v>795</v>
      </c>
    </row>
    <row r="243" ht="15.75" customHeight="1">
      <c r="A243" s="1">
        <v>45596.0</v>
      </c>
      <c r="B243" s="2" t="s">
        <v>35</v>
      </c>
      <c r="C243" s="2" t="s">
        <v>139</v>
      </c>
      <c r="D243" s="5">
        <v>273.01</v>
      </c>
      <c r="E243" s="5">
        <v>1.0</v>
      </c>
      <c r="F243" s="6">
        <v>273.01</v>
      </c>
      <c r="G243" s="2" t="s">
        <v>796</v>
      </c>
      <c r="H243" s="2" t="s">
        <v>797</v>
      </c>
      <c r="I243" s="2" t="s">
        <v>798</v>
      </c>
    </row>
    <row r="244" ht="15.75" customHeight="1">
      <c r="A244" s="1">
        <v>45597.0</v>
      </c>
      <c r="B244" s="2" t="s">
        <v>799</v>
      </c>
      <c r="C244" s="2" t="s">
        <v>272</v>
      </c>
      <c r="D244" s="5">
        <v>434.9</v>
      </c>
      <c r="E244" s="5">
        <v>1.0</v>
      </c>
      <c r="F244" s="6">
        <v>434.9</v>
      </c>
      <c r="G244" s="2" t="s">
        <v>800</v>
      </c>
      <c r="H244" s="2" t="s">
        <v>801</v>
      </c>
      <c r="I244" s="2" t="s">
        <v>802</v>
      </c>
    </row>
    <row r="245" ht="15.75" customHeight="1">
      <c r="A245" s="1">
        <v>45597.0</v>
      </c>
      <c r="B245" s="2" t="s">
        <v>9</v>
      </c>
      <c r="C245" s="2" t="s">
        <v>163</v>
      </c>
      <c r="D245" s="5">
        <v>719.59</v>
      </c>
      <c r="E245" s="5">
        <v>3.0</v>
      </c>
      <c r="F245" s="6">
        <v>2158.77</v>
      </c>
      <c r="G245" s="2" t="s">
        <v>803</v>
      </c>
      <c r="H245" s="2" t="s">
        <v>804</v>
      </c>
      <c r="I245" s="2" t="s">
        <v>805</v>
      </c>
    </row>
    <row r="246" ht="15.75" customHeight="1">
      <c r="A246" s="1">
        <v>45597.0</v>
      </c>
      <c r="B246" s="2" t="s">
        <v>58</v>
      </c>
      <c r="C246" s="2" t="s">
        <v>121</v>
      </c>
      <c r="D246" s="5">
        <v>1912.53</v>
      </c>
      <c r="E246" s="5">
        <v>1.0</v>
      </c>
      <c r="F246" s="6">
        <v>1912.53</v>
      </c>
      <c r="G246" s="2" t="s">
        <v>806</v>
      </c>
      <c r="H246" s="2" t="s">
        <v>807</v>
      </c>
      <c r="I246" s="2" t="s">
        <v>808</v>
      </c>
    </row>
    <row r="247" ht="15.75" customHeight="1">
      <c r="A247" s="1">
        <v>45597.0</v>
      </c>
      <c r="B247" s="2" t="s">
        <v>35</v>
      </c>
      <c r="C247" s="2" t="s">
        <v>71</v>
      </c>
      <c r="D247" s="5">
        <v>2196.83</v>
      </c>
      <c r="E247" s="5">
        <v>5.0</v>
      </c>
      <c r="F247" s="6">
        <v>10984.15</v>
      </c>
      <c r="G247" s="2" t="s">
        <v>809</v>
      </c>
      <c r="H247" s="2" t="s">
        <v>810</v>
      </c>
      <c r="I247" s="2" t="s">
        <v>811</v>
      </c>
    </row>
    <row r="248" ht="15.75" customHeight="1">
      <c r="A248" s="1">
        <v>45597.0</v>
      </c>
      <c r="B248" s="2" t="s">
        <v>14</v>
      </c>
      <c r="C248" s="2" t="s">
        <v>430</v>
      </c>
      <c r="D248" s="5">
        <v>1992.15</v>
      </c>
      <c r="E248" s="5">
        <v>2.0</v>
      </c>
      <c r="F248" s="6">
        <v>3984.3</v>
      </c>
      <c r="G248" s="2" t="s">
        <v>812</v>
      </c>
      <c r="H248" s="2" t="s">
        <v>813</v>
      </c>
      <c r="I248" s="2" t="s">
        <v>814</v>
      </c>
    </row>
    <row r="249" ht="15.75" customHeight="1">
      <c r="A249" s="1">
        <v>45598.0</v>
      </c>
      <c r="B249" s="2" t="s">
        <v>35</v>
      </c>
      <c r="C249" s="2" t="s">
        <v>132</v>
      </c>
      <c r="D249" s="5">
        <v>1291.38</v>
      </c>
      <c r="E249" s="5">
        <v>4.0</v>
      </c>
      <c r="F249" s="6">
        <v>5165.52</v>
      </c>
      <c r="G249" s="2" t="s">
        <v>815</v>
      </c>
      <c r="H249" s="2" t="s">
        <v>816</v>
      </c>
      <c r="I249" s="2" t="s">
        <v>817</v>
      </c>
    </row>
    <row r="250" ht="15.75" customHeight="1">
      <c r="A250" s="1">
        <v>45598.0</v>
      </c>
      <c r="B250" s="2" t="s">
        <v>14</v>
      </c>
      <c r="C250" s="2" t="s">
        <v>36</v>
      </c>
      <c r="D250" s="5">
        <v>1522.98</v>
      </c>
      <c r="E250" s="5">
        <v>1.0</v>
      </c>
      <c r="F250" s="6">
        <v>1522.98</v>
      </c>
      <c r="G250" s="2" t="s">
        <v>818</v>
      </c>
      <c r="H250" s="2" t="s">
        <v>819</v>
      </c>
      <c r="I250" s="2" t="s">
        <v>820</v>
      </c>
    </row>
    <row r="251" ht="15.75" customHeight="1">
      <c r="A251" s="1">
        <v>45598.0</v>
      </c>
      <c r="B251" s="2" t="s">
        <v>58</v>
      </c>
      <c r="C251" s="2" t="s">
        <v>59</v>
      </c>
      <c r="D251" s="5">
        <v>1688.92</v>
      </c>
      <c r="E251" s="5">
        <v>5.0</v>
      </c>
      <c r="F251" s="6">
        <v>8444.6</v>
      </c>
      <c r="G251" s="2" t="s">
        <v>821</v>
      </c>
      <c r="H251" s="2" t="s">
        <v>822</v>
      </c>
      <c r="I251" s="2" t="s">
        <v>823</v>
      </c>
    </row>
    <row r="252" ht="15.75" customHeight="1">
      <c r="A252" s="1">
        <v>45599.0</v>
      </c>
      <c r="B252" s="2" t="s">
        <v>9</v>
      </c>
      <c r="C252" s="2" t="s">
        <v>163</v>
      </c>
      <c r="D252" s="5">
        <v>2157.37</v>
      </c>
      <c r="E252" s="5">
        <v>5.0</v>
      </c>
      <c r="F252" s="6">
        <v>10786.85</v>
      </c>
      <c r="G252" s="2" t="s">
        <v>824</v>
      </c>
      <c r="H252" s="2" t="s">
        <v>825</v>
      </c>
      <c r="I252" s="2" t="s">
        <v>826</v>
      </c>
    </row>
    <row r="253" ht="15.75" customHeight="1">
      <c r="A253" s="1">
        <v>45599.0</v>
      </c>
      <c r="B253" s="2" t="s">
        <v>58</v>
      </c>
      <c r="C253" s="2" t="s">
        <v>272</v>
      </c>
      <c r="D253" s="5">
        <v>642.49</v>
      </c>
      <c r="E253" s="5">
        <v>4.0</v>
      </c>
      <c r="F253" s="6">
        <v>2569.96</v>
      </c>
      <c r="G253" s="2" t="s">
        <v>827</v>
      </c>
      <c r="H253" s="2" t="s">
        <v>828</v>
      </c>
      <c r="I253" s="2" t="s">
        <v>829</v>
      </c>
    </row>
    <row r="254" ht="15.75" customHeight="1">
      <c r="A254" s="1">
        <v>45600.0</v>
      </c>
      <c r="B254" s="2" t="s">
        <v>35</v>
      </c>
      <c r="C254" s="2" t="s">
        <v>292</v>
      </c>
      <c r="D254" s="5">
        <v>2114.2</v>
      </c>
      <c r="E254" s="5">
        <v>5.0</v>
      </c>
      <c r="F254" s="6">
        <v>10571.0</v>
      </c>
      <c r="G254" s="2" t="s">
        <v>830</v>
      </c>
      <c r="H254" s="2" t="s">
        <v>831</v>
      </c>
      <c r="I254" s="2" t="s">
        <v>832</v>
      </c>
    </row>
    <row r="255" ht="15.75" customHeight="1">
      <c r="A255" s="1">
        <v>45600.0</v>
      </c>
      <c r="B255" s="2" t="s">
        <v>14</v>
      </c>
      <c r="C255" s="2" t="s">
        <v>90</v>
      </c>
      <c r="D255" s="5">
        <v>1491.19</v>
      </c>
      <c r="E255" s="5">
        <v>5.0</v>
      </c>
      <c r="F255" s="6">
        <v>7455.95</v>
      </c>
      <c r="G255" s="2" t="s">
        <v>833</v>
      </c>
      <c r="H255" s="2" t="s">
        <v>834</v>
      </c>
      <c r="I255" s="2" t="s">
        <v>835</v>
      </c>
    </row>
    <row r="256" ht="15.75" customHeight="1">
      <c r="A256" s="1">
        <v>45600.0</v>
      </c>
      <c r="B256" s="2" t="s">
        <v>58</v>
      </c>
      <c r="C256" s="2" t="s">
        <v>132</v>
      </c>
      <c r="D256" s="5">
        <v>1849.07</v>
      </c>
      <c r="E256" s="5">
        <v>5.0</v>
      </c>
      <c r="F256" s="6">
        <v>9245.35</v>
      </c>
      <c r="G256" s="2" t="s">
        <v>836</v>
      </c>
      <c r="H256" s="2" t="s">
        <v>837</v>
      </c>
      <c r="I256" s="2" t="s">
        <v>838</v>
      </c>
    </row>
    <row r="257" ht="15.75" customHeight="1">
      <c r="A257" s="1">
        <v>45600.0</v>
      </c>
      <c r="B257" s="2" t="s">
        <v>35</v>
      </c>
      <c r="C257" s="2" t="s">
        <v>839</v>
      </c>
      <c r="D257" s="5">
        <v>1612.87</v>
      </c>
      <c r="E257" s="5">
        <v>4.0</v>
      </c>
      <c r="F257" s="6">
        <v>6451.48</v>
      </c>
      <c r="G257" s="2" t="s">
        <v>840</v>
      </c>
      <c r="H257" s="2" t="s">
        <v>841</v>
      </c>
      <c r="I257" s="2" t="s">
        <v>842</v>
      </c>
    </row>
    <row r="258" ht="15.75" customHeight="1">
      <c r="A258" s="1">
        <v>45601.0</v>
      </c>
      <c r="B258" s="2" t="s">
        <v>75</v>
      </c>
      <c r="C258" s="2" t="s">
        <v>121</v>
      </c>
      <c r="D258" s="5">
        <v>670.67</v>
      </c>
      <c r="E258" s="5">
        <v>4.0</v>
      </c>
      <c r="F258" s="6">
        <v>2682.68</v>
      </c>
      <c r="G258" s="2" t="s">
        <v>843</v>
      </c>
      <c r="H258" s="2" t="s">
        <v>844</v>
      </c>
      <c r="I258" s="2" t="s">
        <v>845</v>
      </c>
    </row>
    <row r="259" ht="15.75" customHeight="1">
      <c r="A259" s="1">
        <v>45601.0</v>
      </c>
      <c r="B259" s="3" t="s">
        <v>30</v>
      </c>
      <c r="C259" s="2" t="s">
        <v>153</v>
      </c>
      <c r="D259" s="5">
        <v>1040.78</v>
      </c>
      <c r="E259" s="5">
        <v>2.0</v>
      </c>
      <c r="F259" s="6">
        <v>2081.56</v>
      </c>
      <c r="G259" s="2" t="s">
        <v>846</v>
      </c>
      <c r="H259" s="2" t="s">
        <v>847</v>
      </c>
      <c r="I259" s="2" t="s">
        <v>848</v>
      </c>
    </row>
    <row r="260" ht="15.75" customHeight="1">
      <c r="A260" s="1">
        <v>45601.0</v>
      </c>
      <c r="B260" s="3" t="s">
        <v>30</v>
      </c>
      <c r="C260" s="2" t="s">
        <v>259</v>
      </c>
      <c r="D260" s="5">
        <v>1050.44</v>
      </c>
      <c r="E260" s="5">
        <v>5.0</v>
      </c>
      <c r="F260" s="6">
        <v>5252.2</v>
      </c>
      <c r="G260" s="2" t="s">
        <v>849</v>
      </c>
      <c r="H260" s="2" t="s">
        <v>850</v>
      </c>
      <c r="I260" s="2" t="s">
        <v>851</v>
      </c>
    </row>
    <row r="261" ht="15.75" customHeight="1">
      <c r="A261" s="8">
        <v>45601.0</v>
      </c>
      <c r="B261" s="2" t="s">
        <v>89</v>
      </c>
      <c r="C261" s="2" t="s">
        <v>225</v>
      </c>
      <c r="D261" s="5">
        <v>808.32</v>
      </c>
      <c r="E261" s="5">
        <v>4.0</v>
      </c>
      <c r="F261" s="6">
        <v>3233.28</v>
      </c>
      <c r="G261" s="2" t="s">
        <v>852</v>
      </c>
      <c r="H261" s="2" t="s">
        <v>853</v>
      </c>
      <c r="I261" s="2" t="s">
        <v>854</v>
      </c>
    </row>
    <row r="262" ht="15.75" customHeight="1">
      <c r="A262" s="1">
        <v>45601.0</v>
      </c>
      <c r="B262" s="3" t="s">
        <v>30</v>
      </c>
      <c r="C262" s="2" t="s">
        <v>292</v>
      </c>
      <c r="D262" s="5">
        <v>2092.87</v>
      </c>
      <c r="E262" s="5">
        <v>4.0</v>
      </c>
      <c r="F262" s="6">
        <v>8371.48</v>
      </c>
      <c r="G262" s="2" t="s">
        <v>855</v>
      </c>
      <c r="H262" s="2" t="s">
        <v>856</v>
      </c>
      <c r="I262" s="2" t="s">
        <v>857</v>
      </c>
    </row>
    <row r="263" ht="15.75" customHeight="1">
      <c r="A263" s="1">
        <v>45601.0</v>
      </c>
      <c r="B263" s="2" t="s">
        <v>58</v>
      </c>
      <c r="C263" s="2" t="s">
        <v>292</v>
      </c>
      <c r="D263" s="5">
        <v>1826.03</v>
      </c>
      <c r="E263" s="5">
        <v>2.0</v>
      </c>
      <c r="F263" s="6">
        <v>3652.06</v>
      </c>
      <c r="G263" s="2" t="s">
        <v>858</v>
      </c>
      <c r="H263" s="2" t="s">
        <v>859</v>
      </c>
      <c r="I263" s="2" t="s">
        <v>860</v>
      </c>
    </row>
    <row r="264" ht="15.75" customHeight="1">
      <c r="A264" s="1">
        <v>45602.0</v>
      </c>
      <c r="B264" s="2" t="s">
        <v>14</v>
      </c>
      <c r="C264" s="2" t="s">
        <v>229</v>
      </c>
      <c r="D264" s="5">
        <v>1945.67</v>
      </c>
      <c r="E264" s="5">
        <v>4.0</v>
      </c>
      <c r="F264" s="6">
        <v>7782.68</v>
      </c>
      <c r="G264" s="2" t="s">
        <v>861</v>
      </c>
      <c r="H264" s="2" t="s">
        <v>862</v>
      </c>
      <c r="I264" s="2" t="s">
        <v>863</v>
      </c>
    </row>
    <row r="265" ht="15.75" customHeight="1">
      <c r="A265" s="1">
        <v>45602.0</v>
      </c>
      <c r="B265" s="2" t="s">
        <v>35</v>
      </c>
      <c r="C265" s="2" t="s">
        <v>430</v>
      </c>
      <c r="D265" s="5">
        <v>949.27</v>
      </c>
      <c r="E265" s="5">
        <v>2.0</v>
      </c>
      <c r="F265" s="6">
        <v>1898.54</v>
      </c>
      <c r="G265" s="2" t="s">
        <v>864</v>
      </c>
      <c r="H265" s="2" t="s">
        <v>865</v>
      </c>
      <c r="I265" s="2" t="s">
        <v>866</v>
      </c>
    </row>
    <row r="266" ht="15.75" customHeight="1">
      <c r="A266" s="1">
        <v>45603.0</v>
      </c>
      <c r="B266" s="3" t="s">
        <v>30</v>
      </c>
      <c r="C266" s="2" t="s">
        <v>67</v>
      </c>
      <c r="D266" s="5">
        <v>127.95</v>
      </c>
      <c r="E266" s="5">
        <v>4.0</v>
      </c>
      <c r="F266" s="6">
        <v>511.8</v>
      </c>
      <c r="G266" s="2" t="s">
        <v>867</v>
      </c>
      <c r="H266" s="2" t="s">
        <v>868</v>
      </c>
      <c r="I266" s="2" t="s">
        <v>869</v>
      </c>
    </row>
    <row r="267" ht="15.75" customHeight="1">
      <c r="A267" s="1">
        <v>45603.0</v>
      </c>
      <c r="B267" s="2" t="s">
        <v>75</v>
      </c>
      <c r="C267" s="2" t="s">
        <v>666</v>
      </c>
      <c r="D267" s="5">
        <v>371.34</v>
      </c>
      <c r="E267" s="5">
        <v>3.0</v>
      </c>
      <c r="F267" s="6">
        <v>1114.02</v>
      </c>
      <c r="G267" s="2" t="s">
        <v>870</v>
      </c>
      <c r="H267" s="2" t="s">
        <v>871</v>
      </c>
      <c r="I267" s="2" t="s">
        <v>872</v>
      </c>
    </row>
    <row r="268" ht="15.75" customHeight="1">
      <c r="A268" s="1">
        <v>45603.0</v>
      </c>
      <c r="B268" s="2" t="s">
        <v>35</v>
      </c>
      <c r="C268" s="2" t="s">
        <v>94</v>
      </c>
      <c r="D268" s="5">
        <v>700.01</v>
      </c>
      <c r="E268" s="5">
        <v>3.0</v>
      </c>
      <c r="F268" s="6">
        <v>2100.03</v>
      </c>
      <c r="G268" s="2" t="s">
        <v>873</v>
      </c>
      <c r="H268" s="2" t="s">
        <v>874</v>
      </c>
      <c r="I268" s="2" t="s">
        <v>875</v>
      </c>
    </row>
    <row r="269" ht="15.75" customHeight="1">
      <c r="A269" s="1">
        <v>45603.0</v>
      </c>
      <c r="B269" s="2" t="s">
        <v>75</v>
      </c>
      <c r="C269" s="2" t="s">
        <v>389</v>
      </c>
      <c r="D269" s="5">
        <v>2242.24</v>
      </c>
      <c r="E269" s="5">
        <v>1.0</v>
      </c>
      <c r="F269" s="6">
        <v>2242.24</v>
      </c>
      <c r="G269" s="2" t="s">
        <v>876</v>
      </c>
      <c r="H269" s="2" t="s">
        <v>877</v>
      </c>
      <c r="I269" s="2" t="s">
        <v>878</v>
      </c>
    </row>
    <row r="270" ht="15.75" customHeight="1">
      <c r="A270" s="8">
        <v>45603.0</v>
      </c>
      <c r="B270" s="2" t="s">
        <v>14</v>
      </c>
      <c r="C270" s="2" t="s">
        <v>132</v>
      </c>
      <c r="D270" s="5">
        <v>1912.83</v>
      </c>
      <c r="E270" s="5">
        <v>2.0</v>
      </c>
      <c r="F270" s="6">
        <v>3825.66</v>
      </c>
      <c r="G270" s="2" t="s">
        <v>879</v>
      </c>
      <c r="H270" s="2" t="s">
        <v>880</v>
      </c>
      <c r="I270" s="2" t="s">
        <v>881</v>
      </c>
    </row>
    <row r="271" ht="15.75" customHeight="1">
      <c r="A271" s="8">
        <v>45603.0</v>
      </c>
      <c r="B271" s="2" t="s">
        <v>9</v>
      </c>
      <c r="C271" s="2" t="s">
        <v>121</v>
      </c>
      <c r="D271" s="5">
        <v>634.44</v>
      </c>
      <c r="E271" s="5">
        <v>4.0</v>
      </c>
      <c r="F271" s="6">
        <v>2537.76</v>
      </c>
      <c r="G271" s="2" t="s">
        <v>882</v>
      </c>
      <c r="H271" s="2" t="s">
        <v>883</v>
      </c>
      <c r="I271" s="2" t="s">
        <v>884</v>
      </c>
    </row>
    <row r="272" ht="15.75" customHeight="1">
      <c r="A272" s="8">
        <v>45603.0</v>
      </c>
      <c r="B272" s="2" t="s">
        <v>35</v>
      </c>
      <c r="C272" s="2" t="s">
        <v>255</v>
      </c>
      <c r="D272" s="5">
        <v>1270.75</v>
      </c>
      <c r="E272" s="5">
        <v>5.0</v>
      </c>
      <c r="F272" s="6">
        <v>6353.75</v>
      </c>
      <c r="G272" s="2" t="s">
        <v>885</v>
      </c>
      <c r="H272" s="2" t="s">
        <v>886</v>
      </c>
      <c r="I272" s="2" t="s">
        <v>887</v>
      </c>
    </row>
    <row r="273" ht="15.75" customHeight="1">
      <c r="A273" s="1">
        <v>45603.0</v>
      </c>
      <c r="B273" s="2" t="s">
        <v>14</v>
      </c>
      <c r="C273" s="2" t="s">
        <v>59</v>
      </c>
      <c r="D273" s="5">
        <v>841.48</v>
      </c>
      <c r="E273" s="5">
        <v>2.0</v>
      </c>
      <c r="F273" s="6">
        <v>1682.96</v>
      </c>
      <c r="G273" s="2" t="s">
        <v>888</v>
      </c>
      <c r="H273" s="2" t="s">
        <v>889</v>
      </c>
      <c r="I273" s="2" t="s">
        <v>890</v>
      </c>
    </row>
    <row r="274" ht="15.75" customHeight="1">
      <c r="A274" s="1">
        <v>45604.0</v>
      </c>
      <c r="B274" s="2" t="s">
        <v>35</v>
      </c>
      <c r="C274" s="2" t="s">
        <v>54</v>
      </c>
      <c r="D274" s="5">
        <v>1656.59</v>
      </c>
      <c r="E274" s="5">
        <v>1.0</v>
      </c>
      <c r="F274" s="6">
        <v>1656.59</v>
      </c>
      <c r="G274" s="2" t="s">
        <v>891</v>
      </c>
      <c r="H274" s="2" t="s">
        <v>892</v>
      </c>
      <c r="I274" s="2" t="s">
        <v>893</v>
      </c>
    </row>
    <row r="275" ht="15.75" customHeight="1">
      <c r="A275" s="1">
        <v>45604.0</v>
      </c>
      <c r="B275" s="2" t="s">
        <v>75</v>
      </c>
      <c r="C275" s="2" t="s">
        <v>218</v>
      </c>
      <c r="D275" s="5">
        <v>762.46</v>
      </c>
      <c r="E275" s="5">
        <v>1.0</v>
      </c>
      <c r="F275" s="6">
        <v>762.46</v>
      </c>
      <c r="G275" s="2" t="s">
        <v>894</v>
      </c>
      <c r="H275" s="2" t="s">
        <v>895</v>
      </c>
      <c r="I275" s="2" t="s">
        <v>896</v>
      </c>
    </row>
    <row r="276" ht="15.75" customHeight="1">
      <c r="A276" s="1">
        <v>45604.0</v>
      </c>
      <c r="B276" s="2" t="s">
        <v>9</v>
      </c>
      <c r="C276" s="2" t="s">
        <v>389</v>
      </c>
      <c r="D276" s="5">
        <v>1662.81</v>
      </c>
      <c r="E276" s="5">
        <v>5.0</v>
      </c>
      <c r="F276" s="6">
        <v>8314.05</v>
      </c>
      <c r="G276" s="2" t="s">
        <v>897</v>
      </c>
      <c r="H276" s="2" t="s">
        <v>898</v>
      </c>
      <c r="I276" s="2" t="s">
        <v>899</v>
      </c>
    </row>
    <row r="277" ht="15.75" customHeight="1">
      <c r="A277" s="1">
        <v>45604.0</v>
      </c>
      <c r="B277" s="2" t="s">
        <v>35</v>
      </c>
      <c r="C277" s="2" t="s">
        <v>272</v>
      </c>
      <c r="D277" s="5">
        <v>427.92</v>
      </c>
      <c r="E277" s="5">
        <v>2.0</v>
      </c>
      <c r="F277" s="6">
        <v>855.84</v>
      </c>
      <c r="G277" s="2" t="s">
        <v>900</v>
      </c>
      <c r="H277" s="2" t="s">
        <v>901</v>
      </c>
      <c r="I277" s="2" t="s">
        <v>902</v>
      </c>
    </row>
    <row r="278" ht="15.75" customHeight="1">
      <c r="A278" s="1">
        <v>45605.0</v>
      </c>
      <c r="B278" s="3" t="s">
        <v>30</v>
      </c>
      <c r="C278" s="2" t="s">
        <v>282</v>
      </c>
      <c r="D278" s="5">
        <v>271.11</v>
      </c>
      <c r="E278" s="5">
        <v>2.0</v>
      </c>
      <c r="F278" s="6">
        <v>542.22</v>
      </c>
      <c r="G278" s="2" t="s">
        <v>903</v>
      </c>
      <c r="H278" s="2" t="s">
        <v>904</v>
      </c>
      <c r="I278" s="2" t="s">
        <v>905</v>
      </c>
    </row>
    <row r="279" ht="15.75" customHeight="1">
      <c r="A279" s="1">
        <v>45605.0</v>
      </c>
      <c r="B279" s="2" t="s">
        <v>35</v>
      </c>
      <c r="C279" s="2" t="s">
        <v>389</v>
      </c>
      <c r="D279" s="5">
        <v>1112.81</v>
      </c>
      <c r="E279" s="5">
        <v>1.0</v>
      </c>
      <c r="F279" s="6">
        <v>1112.81</v>
      </c>
      <c r="G279" s="2" t="s">
        <v>906</v>
      </c>
      <c r="H279" s="2" t="s">
        <v>907</v>
      </c>
      <c r="I279" s="2" t="s">
        <v>908</v>
      </c>
    </row>
    <row r="280" ht="15.75" customHeight="1">
      <c r="A280" s="1">
        <v>45605.0</v>
      </c>
      <c r="B280" s="2" t="s">
        <v>35</v>
      </c>
      <c r="C280" s="2" t="s">
        <v>31</v>
      </c>
      <c r="D280" s="5">
        <v>720.63</v>
      </c>
      <c r="E280" s="5">
        <v>1.0</v>
      </c>
      <c r="F280" s="6">
        <v>720.63</v>
      </c>
      <c r="G280" s="2" t="s">
        <v>909</v>
      </c>
      <c r="H280" s="2" t="s">
        <v>910</v>
      </c>
      <c r="I280" s="2" t="s">
        <v>911</v>
      </c>
    </row>
    <row r="281" ht="15.75" customHeight="1">
      <c r="A281" s="1">
        <v>45605.0</v>
      </c>
      <c r="B281" s="2" t="s">
        <v>89</v>
      </c>
      <c r="C281" s="2" t="s">
        <v>389</v>
      </c>
      <c r="D281" s="5">
        <v>1111.98</v>
      </c>
      <c r="E281" s="5">
        <v>4.0</v>
      </c>
      <c r="F281" s="6">
        <v>4447.92</v>
      </c>
      <c r="G281" s="2" t="s">
        <v>912</v>
      </c>
      <c r="H281" s="2" t="s">
        <v>913</v>
      </c>
      <c r="I281" s="2" t="s">
        <v>914</v>
      </c>
    </row>
    <row r="282" ht="15.75" customHeight="1">
      <c r="A282" s="1">
        <v>45606.0</v>
      </c>
      <c r="B282" s="2" t="s">
        <v>35</v>
      </c>
      <c r="C282" s="2" t="s">
        <v>315</v>
      </c>
      <c r="D282" s="5">
        <v>763.62</v>
      </c>
      <c r="E282" s="5">
        <v>1.0</v>
      </c>
      <c r="F282" s="6">
        <v>763.62</v>
      </c>
      <c r="G282" s="2" t="s">
        <v>915</v>
      </c>
      <c r="H282" s="2" t="s">
        <v>916</v>
      </c>
      <c r="I282" s="2" t="s">
        <v>917</v>
      </c>
    </row>
    <row r="283" ht="15.75" customHeight="1">
      <c r="A283" s="1">
        <v>45606.0</v>
      </c>
      <c r="B283" s="3" t="s">
        <v>473</v>
      </c>
      <c r="C283" s="2" t="s">
        <v>389</v>
      </c>
      <c r="D283" s="5">
        <v>489.42</v>
      </c>
      <c r="E283" s="5">
        <v>3.0</v>
      </c>
      <c r="F283" s="6">
        <v>1468.26</v>
      </c>
      <c r="G283" s="2" t="s">
        <v>918</v>
      </c>
      <c r="H283" s="2" t="s">
        <v>919</v>
      </c>
      <c r="I283" s="7" t="s">
        <v>920</v>
      </c>
    </row>
    <row r="284" ht="15.75" customHeight="1">
      <c r="A284" s="1">
        <v>45606.0</v>
      </c>
      <c r="B284" s="2" t="s">
        <v>58</v>
      </c>
      <c r="C284" s="2" t="s">
        <v>373</v>
      </c>
      <c r="D284" s="5">
        <v>2356.5</v>
      </c>
      <c r="E284" s="5">
        <v>5.0</v>
      </c>
      <c r="F284" s="6">
        <v>11782.5</v>
      </c>
      <c r="G284" s="2" t="s">
        <v>921</v>
      </c>
      <c r="H284" s="2" t="s">
        <v>922</v>
      </c>
      <c r="I284" s="2" t="s">
        <v>923</v>
      </c>
    </row>
    <row r="285" ht="15.75" customHeight="1">
      <c r="A285" s="1">
        <v>45606.0</v>
      </c>
      <c r="B285" s="2" t="s">
        <v>9</v>
      </c>
      <c r="C285" s="2" t="s">
        <v>132</v>
      </c>
      <c r="D285" s="5">
        <v>56.71</v>
      </c>
      <c r="E285" s="5">
        <v>1.0</v>
      </c>
      <c r="F285" s="6">
        <v>56.71</v>
      </c>
      <c r="G285" s="2" t="s">
        <v>924</v>
      </c>
      <c r="H285" s="2" t="s">
        <v>925</v>
      </c>
      <c r="I285" s="2" t="s">
        <v>926</v>
      </c>
    </row>
    <row r="286" ht="15.75" customHeight="1">
      <c r="A286" s="1">
        <v>45606.0</v>
      </c>
      <c r="B286" s="2" t="s">
        <v>14</v>
      </c>
      <c r="C286" s="2" t="s">
        <v>10</v>
      </c>
      <c r="D286" s="5">
        <v>853.52</v>
      </c>
      <c r="E286" s="5">
        <v>5.0</v>
      </c>
      <c r="F286" s="6">
        <v>4267.6</v>
      </c>
      <c r="G286" s="2" t="s">
        <v>927</v>
      </c>
      <c r="H286" s="2" t="s">
        <v>928</v>
      </c>
      <c r="I286" s="2" t="s">
        <v>929</v>
      </c>
    </row>
    <row r="287" ht="15.75" customHeight="1">
      <c r="A287" s="1">
        <v>45606.0</v>
      </c>
      <c r="B287" s="2" t="s">
        <v>9</v>
      </c>
      <c r="C287" s="2" t="s">
        <v>311</v>
      </c>
      <c r="D287" s="5">
        <v>1668.3</v>
      </c>
      <c r="E287" s="5">
        <v>2.0</v>
      </c>
      <c r="F287" s="6">
        <v>3336.6</v>
      </c>
      <c r="G287" s="2" t="s">
        <v>930</v>
      </c>
      <c r="H287" s="2" t="s">
        <v>931</v>
      </c>
      <c r="I287" s="2" t="s">
        <v>932</v>
      </c>
    </row>
    <row r="288" ht="15.75" customHeight="1">
      <c r="A288" s="8">
        <v>45606.0</v>
      </c>
      <c r="B288" s="2" t="s">
        <v>9</v>
      </c>
      <c r="C288" s="2" t="s">
        <v>15</v>
      </c>
      <c r="D288" s="5">
        <v>1585.75</v>
      </c>
      <c r="E288" s="5">
        <v>5.0</v>
      </c>
      <c r="F288" s="6">
        <v>7928.75</v>
      </c>
      <c r="G288" s="2" t="s">
        <v>933</v>
      </c>
      <c r="H288" s="2" t="s">
        <v>934</v>
      </c>
      <c r="I288" s="2" t="s">
        <v>935</v>
      </c>
    </row>
    <row r="289" ht="15.75" customHeight="1">
      <c r="A289" s="1">
        <v>45606.0</v>
      </c>
      <c r="B289" s="2" t="s">
        <v>9</v>
      </c>
      <c r="C289" s="2" t="s">
        <v>399</v>
      </c>
      <c r="D289" s="5">
        <v>229.33</v>
      </c>
      <c r="E289" s="5">
        <v>4.0</v>
      </c>
      <c r="F289" s="6">
        <v>917.32</v>
      </c>
      <c r="G289" s="2" t="s">
        <v>936</v>
      </c>
      <c r="H289" s="2" t="s">
        <v>937</v>
      </c>
      <c r="I289" s="2" t="s">
        <v>938</v>
      </c>
    </row>
    <row r="290" ht="15.75" customHeight="1">
      <c r="A290" s="1">
        <v>45606.0</v>
      </c>
      <c r="B290" s="2" t="s">
        <v>14</v>
      </c>
      <c r="C290" s="2" t="s">
        <v>71</v>
      </c>
      <c r="D290" s="5">
        <v>596.93</v>
      </c>
      <c r="E290" s="5">
        <v>5.0</v>
      </c>
      <c r="F290" s="6">
        <v>2984.65</v>
      </c>
      <c r="G290" s="2" t="s">
        <v>939</v>
      </c>
      <c r="H290" s="2" t="s">
        <v>940</v>
      </c>
      <c r="I290" s="2" t="s">
        <v>941</v>
      </c>
    </row>
    <row r="291" ht="15.75" customHeight="1">
      <c r="A291" s="1">
        <v>45606.0</v>
      </c>
      <c r="B291" s="3" t="s">
        <v>30</v>
      </c>
      <c r="C291" s="2" t="s">
        <v>430</v>
      </c>
      <c r="D291" s="5">
        <v>1650.53</v>
      </c>
      <c r="E291" s="5">
        <v>1.0</v>
      </c>
      <c r="F291" s="6">
        <v>1650.53</v>
      </c>
      <c r="G291" s="2" t="s">
        <v>942</v>
      </c>
      <c r="H291" s="2" t="s">
        <v>943</v>
      </c>
      <c r="I291" s="2" t="s">
        <v>944</v>
      </c>
    </row>
    <row r="292" ht="15.75" customHeight="1">
      <c r="A292" s="1">
        <v>45606.0</v>
      </c>
      <c r="B292" s="2" t="s">
        <v>75</v>
      </c>
      <c r="C292" s="2" t="s">
        <v>117</v>
      </c>
      <c r="D292" s="5">
        <v>2114.99</v>
      </c>
      <c r="E292" s="5">
        <v>1.0</v>
      </c>
      <c r="F292" s="6">
        <v>2114.99</v>
      </c>
      <c r="G292" s="2" t="s">
        <v>945</v>
      </c>
      <c r="H292" s="2" t="s">
        <v>946</v>
      </c>
      <c r="I292" s="2" t="s">
        <v>947</v>
      </c>
    </row>
    <row r="293" ht="15.75" customHeight="1">
      <c r="A293" s="1">
        <v>45606.0</v>
      </c>
      <c r="B293" s="3" t="s">
        <v>30</v>
      </c>
      <c r="C293" s="2" t="s">
        <v>31</v>
      </c>
      <c r="D293" s="5">
        <v>169.2</v>
      </c>
      <c r="E293" s="5">
        <v>3.0</v>
      </c>
      <c r="F293" s="6">
        <v>507.6</v>
      </c>
      <c r="G293" s="2" t="s">
        <v>948</v>
      </c>
      <c r="H293" s="2" t="s">
        <v>949</v>
      </c>
      <c r="I293" s="2" t="s">
        <v>950</v>
      </c>
    </row>
    <row r="294" ht="15.75" customHeight="1">
      <c r="A294" s="1">
        <v>45606.0</v>
      </c>
      <c r="B294" s="2" t="s">
        <v>75</v>
      </c>
      <c r="C294" s="2" t="s">
        <v>389</v>
      </c>
      <c r="D294" s="5">
        <v>1614.84</v>
      </c>
      <c r="E294" s="5">
        <v>3.0</v>
      </c>
      <c r="F294" s="6">
        <v>4844.52</v>
      </c>
      <c r="G294" s="2" t="s">
        <v>951</v>
      </c>
      <c r="H294" s="2" t="s">
        <v>952</v>
      </c>
      <c r="I294" s="2" t="s">
        <v>953</v>
      </c>
    </row>
    <row r="295" ht="15.75" customHeight="1">
      <c r="A295" s="1">
        <v>45606.0</v>
      </c>
      <c r="B295" s="2" t="s">
        <v>75</v>
      </c>
      <c r="C295" s="2" t="s">
        <v>71</v>
      </c>
      <c r="D295" s="5">
        <v>360.98</v>
      </c>
      <c r="E295" s="5">
        <v>3.0</v>
      </c>
      <c r="F295" s="6">
        <v>1082.94</v>
      </c>
      <c r="G295" s="2" t="s">
        <v>954</v>
      </c>
      <c r="H295" s="2" t="s">
        <v>955</v>
      </c>
      <c r="I295" s="2" t="s">
        <v>956</v>
      </c>
    </row>
    <row r="296" ht="15.75" customHeight="1">
      <c r="A296" s="1">
        <v>45606.0</v>
      </c>
      <c r="B296" s="2" t="s">
        <v>9</v>
      </c>
      <c r="C296" s="2" t="s">
        <v>10</v>
      </c>
      <c r="D296" s="5">
        <v>1447.41</v>
      </c>
      <c r="E296" s="5">
        <v>4.0</v>
      </c>
      <c r="F296" s="6">
        <v>5789.64</v>
      </c>
      <c r="G296" s="2" t="s">
        <v>957</v>
      </c>
      <c r="H296" s="2" t="s">
        <v>958</v>
      </c>
      <c r="I296" s="2" t="s">
        <v>959</v>
      </c>
    </row>
    <row r="297" ht="15.75" customHeight="1">
      <c r="A297" s="1">
        <v>45606.0</v>
      </c>
      <c r="B297" s="2" t="s">
        <v>35</v>
      </c>
      <c r="C297" s="2" t="s">
        <v>15</v>
      </c>
      <c r="D297" s="5">
        <v>1746.28</v>
      </c>
      <c r="E297" s="5">
        <v>2.0</v>
      </c>
      <c r="F297" s="6">
        <v>3492.56</v>
      </c>
      <c r="G297" s="2" t="s">
        <v>960</v>
      </c>
      <c r="H297" s="2" t="s">
        <v>961</v>
      </c>
      <c r="I297" s="2" t="s">
        <v>962</v>
      </c>
    </row>
    <row r="298" ht="15.75" customHeight="1">
      <c r="A298" s="1">
        <v>45606.0</v>
      </c>
      <c r="B298" s="2" t="s">
        <v>89</v>
      </c>
      <c r="C298" s="2" t="s">
        <v>85</v>
      </c>
      <c r="D298" s="5">
        <v>2390.84</v>
      </c>
      <c r="E298" s="5">
        <v>5.0</v>
      </c>
      <c r="F298" s="6">
        <v>11954.2</v>
      </c>
      <c r="G298" s="2" t="s">
        <v>963</v>
      </c>
      <c r="H298" s="2" t="s">
        <v>964</v>
      </c>
      <c r="I298" s="2" t="s">
        <v>965</v>
      </c>
    </row>
    <row r="299" ht="15.75" customHeight="1">
      <c r="A299" s="1">
        <v>45606.0</v>
      </c>
      <c r="B299" s="2" t="s">
        <v>35</v>
      </c>
      <c r="C299" s="2" t="s">
        <v>218</v>
      </c>
      <c r="D299" s="5">
        <v>1415.48</v>
      </c>
      <c r="E299" s="5">
        <v>1.0</v>
      </c>
      <c r="F299" s="6">
        <v>1415.48</v>
      </c>
      <c r="G299" s="2" t="s">
        <v>966</v>
      </c>
      <c r="H299" s="2" t="s">
        <v>967</v>
      </c>
      <c r="I299" s="2" t="s">
        <v>968</v>
      </c>
    </row>
    <row r="300" ht="15.75" customHeight="1">
      <c r="A300" s="1">
        <v>45606.0</v>
      </c>
      <c r="B300" s="2" t="s">
        <v>9</v>
      </c>
      <c r="C300" s="2" t="s">
        <v>282</v>
      </c>
      <c r="D300" s="5">
        <v>1384.09</v>
      </c>
      <c r="E300" s="5">
        <v>2.0</v>
      </c>
      <c r="F300" s="6">
        <v>2768.18</v>
      </c>
      <c r="G300" s="2" t="s">
        <v>969</v>
      </c>
      <c r="H300" s="2" t="s">
        <v>970</v>
      </c>
      <c r="I300" s="2" t="s">
        <v>971</v>
      </c>
    </row>
    <row r="301" ht="15.75" customHeight="1">
      <c r="A301" s="1">
        <v>45607.0</v>
      </c>
      <c r="B301" s="2" t="s">
        <v>75</v>
      </c>
      <c r="C301" s="2" t="s">
        <v>190</v>
      </c>
      <c r="D301" s="5">
        <v>1933.07</v>
      </c>
      <c r="E301" s="5">
        <v>3.0</v>
      </c>
      <c r="F301" s="6">
        <v>5799.21</v>
      </c>
      <c r="G301" s="2" t="s">
        <v>972</v>
      </c>
      <c r="H301" s="2" t="s">
        <v>973</v>
      </c>
      <c r="I301" s="2" t="s">
        <v>974</v>
      </c>
    </row>
    <row r="302" ht="15.75" customHeight="1">
      <c r="A302" s="1">
        <v>45607.0</v>
      </c>
      <c r="B302" s="2" t="s">
        <v>14</v>
      </c>
      <c r="C302" s="2" t="s">
        <v>163</v>
      </c>
      <c r="D302" s="5">
        <v>1492.73</v>
      </c>
      <c r="E302" s="5">
        <v>5.0</v>
      </c>
      <c r="F302" s="6">
        <v>7463.65</v>
      </c>
      <c r="G302" s="2" t="s">
        <v>975</v>
      </c>
      <c r="H302" s="2" t="s">
        <v>976</v>
      </c>
      <c r="I302" s="2" t="s">
        <v>977</v>
      </c>
    </row>
    <row r="303" ht="15.75" customHeight="1">
      <c r="A303" s="1">
        <v>45607.0</v>
      </c>
      <c r="B303" s="2" t="s">
        <v>116</v>
      </c>
      <c r="C303" s="2" t="s">
        <v>23</v>
      </c>
      <c r="D303" s="5">
        <v>1170.2</v>
      </c>
      <c r="E303" s="5">
        <v>1.0</v>
      </c>
      <c r="F303" s="6">
        <v>1170.2</v>
      </c>
      <c r="G303" s="2" t="s">
        <v>978</v>
      </c>
      <c r="H303" s="2" t="s">
        <v>979</v>
      </c>
      <c r="I303" s="2" t="s">
        <v>980</v>
      </c>
    </row>
    <row r="304" ht="15.75" customHeight="1">
      <c r="A304" s="1">
        <v>45607.0</v>
      </c>
      <c r="B304" s="3" t="s">
        <v>30</v>
      </c>
      <c r="C304" s="2" t="s">
        <v>190</v>
      </c>
      <c r="D304" s="5">
        <v>569.35</v>
      </c>
      <c r="E304" s="5">
        <v>4.0</v>
      </c>
      <c r="F304" s="6">
        <v>2277.4</v>
      </c>
      <c r="G304" s="2" t="s">
        <v>981</v>
      </c>
      <c r="H304" s="2" t="s">
        <v>982</v>
      </c>
      <c r="I304" s="2" t="s">
        <v>983</v>
      </c>
    </row>
    <row r="305" ht="15.75" customHeight="1">
      <c r="A305" s="1">
        <v>45607.0</v>
      </c>
      <c r="B305" s="2" t="s">
        <v>9</v>
      </c>
      <c r="C305" s="2" t="s">
        <v>67</v>
      </c>
      <c r="D305" s="5">
        <v>664.19</v>
      </c>
      <c r="E305" s="5">
        <v>4.0</v>
      </c>
      <c r="F305" s="6">
        <v>2656.76</v>
      </c>
      <c r="G305" s="2" t="s">
        <v>984</v>
      </c>
      <c r="H305" s="2" t="s">
        <v>985</v>
      </c>
      <c r="I305" s="2" t="s">
        <v>986</v>
      </c>
    </row>
    <row r="306" ht="15.75" customHeight="1">
      <c r="A306" s="1">
        <v>45607.0</v>
      </c>
      <c r="B306" s="2" t="s">
        <v>14</v>
      </c>
      <c r="C306" s="2" t="s">
        <v>54</v>
      </c>
      <c r="D306" s="5">
        <v>214.86</v>
      </c>
      <c r="E306" s="5">
        <v>5.0</v>
      </c>
      <c r="F306" s="6">
        <v>1074.3</v>
      </c>
      <c r="G306" s="2" t="s">
        <v>987</v>
      </c>
      <c r="H306" s="2" t="s">
        <v>988</v>
      </c>
      <c r="I306" s="2" t="s">
        <v>989</v>
      </c>
    </row>
    <row r="307" ht="15.75" customHeight="1">
      <c r="A307" s="1">
        <v>45607.0</v>
      </c>
      <c r="B307" s="2" t="s">
        <v>35</v>
      </c>
      <c r="C307" s="2" t="s">
        <v>233</v>
      </c>
      <c r="D307" s="5">
        <v>499.69</v>
      </c>
      <c r="E307" s="5">
        <v>1.0</v>
      </c>
      <c r="F307" s="6">
        <v>499.69</v>
      </c>
      <c r="G307" s="2" t="s">
        <v>990</v>
      </c>
      <c r="H307" s="2" t="s">
        <v>991</v>
      </c>
      <c r="I307" s="2" t="s">
        <v>992</v>
      </c>
    </row>
    <row r="308" ht="15.75" customHeight="1">
      <c r="A308" s="1">
        <v>45607.0</v>
      </c>
      <c r="B308" s="2" t="s">
        <v>9</v>
      </c>
      <c r="C308" s="2" t="s">
        <v>182</v>
      </c>
      <c r="D308" s="5">
        <v>2442.23</v>
      </c>
      <c r="E308" s="5">
        <v>4.0</v>
      </c>
      <c r="F308" s="6">
        <v>9768.92</v>
      </c>
      <c r="G308" s="2" t="s">
        <v>993</v>
      </c>
      <c r="H308" s="2" t="s">
        <v>994</v>
      </c>
      <c r="I308" s="2" t="s">
        <v>995</v>
      </c>
    </row>
    <row r="309" ht="15.75" customHeight="1">
      <c r="A309" s="1">
        <v>45607.0</v>
      </c>
      <c r="B309" s="2" t="s">
        <v>14</v>
      </c>
      <c r="C309" s="2" t="s">
        <v>139</v>
      </c>
      <c r="D309" s="5">
        <v>2498.64</v>
      </c>
      <c r="E309" s="5">
        <v>2.0</v>
      </c>
      <c r="F309" s="6">
        <v>4997.28</v>
      </c>
      <c r="G309" s="2" t="s">
        <v>996</v>
      </c>
      <c r="H309" s="2" t="s">
        <v>997</v>
      </c>
      <c r="I309" s="2" t="s">
        <v>998</v>
      </c>
    </row>
    <row r="310" ht="15.75" customHeight="1">
      <c r="A310" s="1">
        <v>45608.0</v>
      </c>
      <c r="B310" s="2" t="s">
        <v>999</v>
      </c>
      <c r="C310" s="2" t="s">
        <v>163</v>
      </c>
      <c r="D310" s="5">
        <v>2333.72</v>
      </c>
      <c r="E310" s="5">
        <v>2.0</v>
      </c>
      <c r="F310" s="6">
        <v>4667.44</v>
      </c>
      <c r="G310" s="2" t="s">
        <v>1000</v>
      </c>
      <c r="H310" s="2" t="s">
        <v>1001</v>
      </c>
      <c r="I310" s="2" t="s">
        <v>1002</v>
      </c>
    </row>
    <row r="311" ht="15.75" customHeight="1">
      <c r="A311" s="1">
        <v>45608.0</v>
      </c>
      <c r="B311" s="2" t="s">
        <v>35</v>
      </c>
      <c r="C311" s="2" t="s">
        <v>15</v>
      </c>
      <c r="D311" s="5">
        <v>100.98</v>
      </c>
      <c r="E311" s="5">
        <v>3.0</v>
      </c>
      <c r="F311" s="6">
        <v>302.94</v>
      </c>
      <c r="G311" s="2" t="s">
        <v>1003</v>
      </c>
      <c r="H311" s="2" t="s">
        <v>1004</v>
      </c>
      <c r="I311" s="2" t="s">
        <v>1005</v>
      </c>
    </row>
    <row r="312" ht="15.75" customHeight="1">
      <c r="A312" s="1">
        <v>45608.0</v>
      </c>
      <c r="B312" s="2" t="s">
        <v>58</v>
      </c>
      <c r="C312" s="2" t="s">
        <v>67</v>
      </c>
      <c r="D312" s="5">
        <v>2437.77</v>
      </c>
      <c r="E312" s="5">
        <v>2.0</v>
      </c>
      <c r="F312" s="6">
        <v>4875.54</v>
      </c>
      <c r="G312" s="2" t="s">
        <v>1006</v>
      </c>
      <c r="H312" s="2" t="s">
        <v>1007</v>
      </c>
      <c r="I312" s="2" t="s">
        <v>1008</v>
      </c>
    </row>
    <row r="313" ht="15.75" customHeight="1">
      <c r="A313" s="1">
        <v>45608.0</v>
      </c>
      <c r="B313" s="2" t="s">
        <v>75</v>
      </c>
      <c r="C313" s="2" t="s">
        <v>85</v>
      </c>
      <c r="D313" s="5">
        <v>1281.78</v>
      </c>
      <c r="E313" s="5">
        <v>3.0</v>
      </c>
      <c r="F313" s="6">
        <v>3845.34</v>
      </c>
      <c r="G313" s="2" t="s">
        <v>1009</v>
      </c>
      <c r="H313" s="2" t="s">
        <v>1010</v>
      </c>
      <c r="I313" s="2" t="s">
        <v>1011</v>
      </c>
    </row>
    <row r="314" ht="15.75" customHeight="1">
      <c r="A314" s="1">
        <v>45608.0</v>
      </c>
      <c r="B314" s="2" t="s">
        <v>14</v>
      </c>
      <c r="C314" s="2" t="s">
        <v>282</v>
      </c>
      <c r="D314" s="5">
        <v>2012.81</v>
      </c>
      <c r="E314" s="5">
        <v>4.0</v>
      </c>
      <c r="F314" s="6">
        <v>8051.24</v>
      </c>
      <c r="G314" s="2" t="s">
        <v>1012</v>
      </c>
      <c r="H314" s="2" t="s">
        <v>1013</v>
      </c>
      <c r="I314" s="2" t="s">
        <v>1014</v>
      </c>
    </row>
    <row r="315" ht="15.75" customHeight="1">
      <c r="A315" s="1">
        <v>45608.0</v>
      </c>
      <c r="B315" s="2" t="s">
        <v>58</v>
      </c>
      <c r="C315" s="2" t="s">
        <v>63</v>
      </c>
      <c r="D315" s="5">
        <v>1673.73</v>
      </c>
      <c r="E315" s="5">
        <v>1.0</v>
      </c>
      <c r="F315" s="6">
        <v>1673.73</v>
      </c>
      <c r="G315" s="2" t="s">
        <v>1015</v>
      </c>
      <c r="H315" s="2" t="s">
        <v>1016</v>
      </c>
      <c r="I315" s="2" t="s">
        <v>1017</v>
      </c>
    </row>
    <row r="316" ht="15.75" customHeight="1">
      <c r="A316" s="1">
        <v>45608.0</v>
      </c>
      <c r="B316" s="2" t="s">
        <v>35</v>
      </c>
      <c r="C316" s="2" t="s">
        <v>36</v>
      </c>
      <c r="D316" s="5">
        <v>1151.85</v>
      </c>
      <c r="E316" s="5">
        <v>5.0</v>
      </c>
      <c r="F316" s="6">
        <v>5759.25</v>
      </c>
      <c r="G316" s="2" t="s">
        <v>1018</v>
      </c>
      <c r="H316" s="2" t="s">
        <v>1019</v>
      </c>
      <c r="I316" s="2" t="s">
        <v>1020</v>
      </c>
    </row>
    <row r="317" ht="15.75" customHeight="1">
      <c r="A317" s="1">
        <v>45608.0</v>
      </c>
      <c r="B317" s="2" t="s">
        <v>58</v>
      </c>
      <c r="C317" s="2" t="s">
        <v>90</v>
      </c>
      <c r="D317" s="5">
        <v>1032.0</v>
      </c>
      <c r="E317" s="5">
        <v>4.0</v>
      </c>
      <c r="F317" s="6">
        <v>4128.0</v>
      </c>
      <c r="G317" s="2" t="s">
        <v>1021</v>
      </c>
      <c r="H317" s="2" t="s">
        <v>1022</v>
      </c>
      <c r="I317" s="2" t="s">
        <v>1023</v>
      </c>
    </row>
    <row r="318" ht="15.75" customHeight="1">
      <c r="A318" s="1">
        <v>45608.0</v>
      </c>
      <c r="B318" s="2" t="s">
        <v>75</v>
      </c>
      <c r="C318" s="2" t="s">
        <v>36</v>
      </c>
      <c r="D318" s="2"/>
      <c r="E318" s="5">
        <v>2.0</v>
      </c>
      <c r="F318" s="6">
        <v>3713.2</v>
      </c>
      <c r="G318" s="2" t="s">
        <v>1024</v>
      </c>
      <c r="H318" s="2" t="s">
        <v>1025</v>
      </c>
      <c r="I318" s="2" t="s">
        <v>1026</v>
      </c>
    </row>
    <row r="319" ht="15.75" customHeight="1">
      <c r="A319" s="1">
        <v>45608.0</v>
      </c>
      <c r="B319" s="2" t="s">
        <v>9</v>
      </c>
      <c r="C319" s="2" t="s">
        <v>71</v>
      </c>
      <c r="D319" s="5">
        <v>1383.94</v>
      </c>
      <c r="E319" s="5">
        <v>3.0</v>
      </c>
      <c r="F319" s="6">
        <v>4151.82</v>
      </c>
      <c r="G319" s="2" t="s">
        <v>1027</v>
      </c>
      <c r="H319" s="2" t="s">
        <v>1028</v>
      </c>
      <c r="I319" s="2" t="s">
        <v>1029</v>
      </c>
    </row>
    <row r="320" ht="15.75" customHeight="1">
      <c r="A320" s="1">
        <v>45608.0</v>
      </c>
      <c r="B320" s="2" t="s">
        <v>58</v>
      </c>
      <c r="C320" s="2" t="s">
        <v>233</v>
      </c>
      <c r="D320" s="5">
        <v>812.41</v>
      </c>
      <c r="E320" s="5">
        <v>5.0</v>
      </c>
      <c r="F320" s="6">
        <v>4062.05</v>
      </c>
      <c r="G320" s="2" t="s">
        <v>1030</v>
      </c>
      <c r="H320" s="2" t="s">
        <v>1031</v>
      </c>
      <c r="I320" s="2" t="s">
        <v>1032</v>
      </c>
    </row>
    <row r="321" ht="15.75" customHeight="1">
      <c r="A321" s="1">
        <v>45608.0</v>
      </c>
      <c r="B321" s="2" t="s">
        <v>58</v>
      </c>
      <c r="C321" s="2" t="s">
        <v>23</v>
      </c>
      <c r="D321" s="5">
        <v>424.12</v>
      </c>
      <c r="E321" s="5">
        <v>2.0</v>
      </c>
      <c r="F321" s="6">
        <v>848.24</v>
      </c>
      <c r="G321" s="2" t="s">
        <v>1033</v>
      </c>
      <c r="H321" s="2" t="s">
        <v>1034</v>
      </c>
      <c r="I321" s="2" t="s">
        <v>1035</v>
      </c>
    </row>
    <row r="322" ht="15.75" customHeight="1">
      <c r="A322" s="1">
        <v>45609.0</v>
      </c>
      <c r="B322" s="2" t="s">
        <v>14</v>
      </c>
      <c r="C322" s="2" t="s">
        <v>59</v>
      </c>
      <c r="D322" s="2"/>
      <c r="E322" s="5">
        <v>1.0</v>
      </c>
      <c r="F322" s="6">
        <v>1787.41</v>
      </c>
      <c r="G322" s="2" t="s">
        <v>1036</v>
      </c>
      <c r="H322" s="2" t="s">
        <v>1037</v>
      </c>
      <c r="I322" s="2" t="s">
        <v>1038</v>
      </c>
    </row>
    <row r="323" ht="15.75" customHeight="1">
      <c r="A323" s="1">
        <v>45609.0</v>
      </c>
      <c r="B323" s="2" t="s">
        <v>9</v>
      </c>
      <c r="C323" s="2" t="s">
        <v>94</v>
      </c>
      <c r="D323" s="5">
        <v>625.41</v>
      </c>
      <c r="E323" s="5">
        <v>2.0</v>
      </c>
      <c r="F323" s="6">
        <v>1250.82</v>
      </c>
      <c r="G323" s="2" t="s">
        <v>1039</v>
      </c>
      <c r="H323" s="2" t="s">
        <v>1040</v>
      </c>
      <c r="I323" s="2" t="s">
        <v>1041</v>
      </c>
    </row>
    <row r="324" ht="15.75" customHeight="1">
      <c r="A324" s="1">
        <v>45609.0</v>
      </c>
      <c r="B324" s="3" t="s">
        <v>30</v>
      </c>
      <c r="C324" s="2" t="s">
        <v>319</v>
      </c>
      <c r="D324" s="5">
        <v>2393.92</v>
      </c>
      <c r="E324" s="5">
        <v>3.0</v>
      </c>
      <c r="F324" s="6">
        <v>7181.76</v>
      </c>
      <c r="G324" s="2" t="s">
        <v>1042</v>
      </c>
      <c r="H324" s="2" t="s">
        <v>1043</v>
      </c>
      <c r="I324" s="2" t="s">
        <v>1044</v>
      </c>
    </row>
    <row r="325" ht="15.75" customHeight="1">
      <c r="A325" s="1">
        <v>45609.0</v>
      </c>
      <c r="B325" s="2" t="s">
        <v>9</v>
      </c>
      <c r="C325" s="2" t="s">
        <v>15</v>
      </c>
      <c r="D325" s="5">
        <v>724.54</v>
      </c>
      <c r="E325" s="5">
        <v>5.0</v>
      </c>
      <c r="F325" s="6">
        <v>3622.7</v>
      </c>
      <c r="G325" s="2" t="s">
        <v>1045</v>
      </c>
      <c r="H325" s="2" t="s">
        <v>1046</v>
      </c>
      <c r="I325" s="2" t="s">
        <v>1047</v>
      </c>
    </row>
    <row r="326" ht="15.75" customHeight="1">
      <c r="A326" s="1">
        <v>45609.0</v>
      </c>
      <c r="B326" s="3" t="s">
        <v>30</v>
      </c>
      <c r="C326" s="2" t="s">
        <v>259</v>
      </c>
      <c r="D326" s="5">
        <v>1665.73</v>
      </c>
      <c r="E326" s="5">
        <v>2.0</v>
      </c>
      <c r="F326" s="6">
        <v>3331.46</v>
      </c>
      <c r="G326" s="2" t="s">
        <v>1048</v>
      </c>
      <c r="H326" s="2" t="s">
        <v>1049</v>
      </c>
      <c r="I326" s="2" t="s">
        <v>1050</v>
      </c>
    </row>
    <row r="327" ht="15.75" customHeight="1">
      <c r="A327" s="1">
        <v>45609.0</v>
      </c>
      <c r="B327" s="2" t="s">
        <v>14</v>
      </c>
      <c r="C327" s="2" t="s">
        <v>182</v>
      </c>
      <c r="D327" s="5">
        <v>1373.32</v>
      </c>
      <c r="E327" s="5">
        <v>1.0</v>
      </c>
      <c r="F327" s="6">
        <v>1373.32</v>
      </c>
      <c r="G327" s="2" t="s">
        <v>1051</v>
      </c>
      <c r="H327" s="2" t="s">
        <v>1052</v>
      </c>
      <c r="I327" s="2" t="s">
        <v>1053</v>
      </c>
    </row>
    <row r="328" ht="15.75" customHeight="1">
      <c r="A328" s="1">
        <v>45609.0</v>
      </c>
      <c r="B328" s="2" t="s">
        <v>58</v>
      </c>
      <c r="C328" s="2" t="s">
        <v>186</v>
      </c>
      <c r="D328" s="5">
        <v>1899.66</v>
      </c>
      <c r="E328" s="5">
        <v>2.0</v>
      </c>
      <c r="F328" s="6">
        <v>3799.32</v>
      </c>
      <c r="G328" s="2" t="s">
        <v>1054</v>
      </c>
      <c r="H328" s="2" t="s">
        <v>1055</v>
      </c>
      <c r="I328" s="7" t="s">
        <v>1056</v>
      </c>
    </row>
    <row r="329" ht="15.75" customHeight="1">
      <c r="A329" s="1">
        <v>45609.0</v>
      </c>
      <c r="B329" s="2" t="s">
        <v>75</v>
      </c>
      <c r="C329" s="2" t="s">
        <v>132</v>
      </c>
      <c r="D329" s="5">
        <v>1873.69</v>
      </c>
      <c r="E329" s="5">
        <v>2.0</v>
      </c>
      <c r="F329" s="6">
        <v>3747.38</v>
      </c>
      <c r="G329" s="2" t="s">
        <v>1057</v>
      </c>
      <c r="H329" s="2" t="s">
        <v>1058</v>
      </c>
      <c r="I329" s="2" t="s">
        <v>1059</v>
      </c>
    </row>
    <row r="330" ht="15.75" customHeight="1">
      <c r="A330" s="1">
        <v>45609.0</v>
      </c>
      <c r="B330" s="2" t="s">
        <v>58</v>
      </c>
      <c r="C330" s="2" t="s">
        <v>50</v>
      </c>
      <c r="D330" s="5">
        <v>181.51</v>
      </c>
      <c r="E330" s="5">
        <v>5.0</v>
      </c>
      <c r="F330" s="6">
        <v>907.55</v>
      </c>
      <c r="G330" s="2" t="s">
        <v>1060</v>
      </c>
      <c r="H330" s="2" t="s">
        <v>1061</v>
      </c>
      <c r="I330" s="2" t="s">
        <v>1062</v>
      </c>
    </row>
    <row r="331" ht="15.75" customHeight="1">
      <c r="A331" s="1">
        <v>45609.0</v>
      </c>
      <c r="B331" s="2" t="s">
        <v>14</v>
      </c>
      <c r="C331" s="2" t="s">
        <v>167</v>
      </c>
      <c r="D331" s="5">
        <v>1029.22</v>
      </c>
      <c r="E331" s="5">
        <v>5.0</v>
      </c>
      <c r="F331" s="6">
        <v>5146.1</v>
      </c>
      <c r="G331" s="2" t="s">
        <v>1063</v>
      </c>
      <c r="H331" s="2" t="s">
        <v>1064</v>
      </c>
      <c r="I331" s="2" t="s">
        <v>1065</v>
      </c>
    </row>
    <row r="332" ht="15.75" customHeight="1">
      <c r="A332" s="1">
        <v>45609.0</v>
      </c>
      <c r="B332" s="2" t="s">
        <v>35</v>
      </c>
      <c r="C332" s="2" t="s">
        <v>430</v>
      </c>
      <c r="D332" s="5">
        <v>1177.91</v>
      </c>
      <c r="E332" s="5">
        <v>2.0</v>
      </c>
      <c r="F332" s="6">
        <v>2355.82</v>
      </c>
      <c r="G332" s="2" t="s">
        <v>1066</v>
      </c>
      <c r="H332" s="2" t="s">
        <v>1067</v>
      </c>
      <c r="I332" s="2" t="s">
        <v>1068</v>
      </c>
    </row>
    <row r="333" ht="15.75" customHeight="1">
      <c r="A333" s="1">
        <v>45610.0</v>
      </c>
      <c r="B333" s="2" t="s">
        <v>75</v>
      </c>
      <c r="C333" s="2" t="s">
        <v>23</v>
      </c>
      <c r="D333" s="5">
        <v>1618.43</v>
      </c>
      <c r="E333" s="5">
        <v>3.0</v>
      </c>
      <c r="F333" s="6">
        <v>4855.29</v>
      </c>
      <c r="G333" s="2" t="s">
        <v>1069</v>
      </c>
      <c r="H333" s="2" t="s">
        <v>1070</v>
      </c>
      <c r="I333" s="2" t="s">
        <v>1071</v>
      </c>
    </row>
    <row r="334" ht="15.75" customHeight="1">
      <c r="A334" s="1">
        <v>45610.0</v>
      </c>
      <c r="B334" s="2" t="s">
        <v>58</v>
      </c>
      <c r="C334" s="2" t="s">
        <v>319</v>
      </c>
      <c r="D334" s="5">
        <v>2064.2</v>
      </c>
      <c r="E334" s="5">
        <v>1.0</v>
      </c>
      <c r="F334" s="6">
        <v>2064.2</v>
      </c>
      <c r="G334" s="2" t="s">
        <v>1072</v>
      </c>
      <c r="H334" s="2" t="s">
        <v>1073</v>
      </c>
      <c r="I334" s="2" t="s">
        <v>1074</v>
      </c>
    </row>
    <row r="335" ht="15.75" customHeight="1">
      <c r="A335" s="1">
        <v>45610.0</v>
      </c>
      <c r="B335" s="3" t="s">
        <v>30</v>
      </c>
      <c r="C335" s="2" t="s">
        <v>218</v>
      </c>
      <c r="D335" s="5">
        <v>1152.44</v>
      </c>
      <c r="E335" s="5">
        <v>5.0</v>
      </c>
      <c r="F335" s="6">
        <v>5762.2</v>
      </c>
      <c r="G335" s="2" t="s">
        <v>1075</v>
      </c>
      <c r="H335" s="2" t="s">
        <v>1076</v>
      </c>
      <c r="I335" s="2" t="s">
        <v>1077</v>
      </c>
    </row>
    <row r="336" ht="15.75" customHeight="1">
      <c r="A336" s="1">
        <v>45610.0</v>
      </c>
      <c r="B336" s="2" t="s">
        <v>58</v>
      </c>
      <c r="C336" s="2" t="s">
        <v>15</v>
      </c>
      <c r="D336" s="5">
        <v>1051.49</v>
      </c>
      <c r="E336" s="5">
        <v>3.0</v>
      </c>
      <c r="F336" s="6">
        <v>3154.47</v>
      </c>
      <c r="G336" s="2" t="s">
        <v>1078</v>
      </c>
      <c r="H336" s="2" t="s">
        <v>1079</v>
      </c>
      <c r="I336" s="2" t="s">
        <v>1080</v>
      </c>
    </row>
    <row r="337" ht="15.75" customHeight="1">
      <c r="A337" s="1">
        <v>45610.0</v>
      </c>
      <c r="B337" s="2" t="s">
        <v>58</v>
      </c>
      <c r="C337" s="2" t="s">
        <v>1081</v>
      </c>
      <c r="D337" s="5">
        <v>446.49</v>
      </c>
      <c r="E337" s="5">
        <v>3.0</v>
      </c>
      <c r="F337" s="6">
        <v>1339.47</v>
      </c>
      <c r="G337" s="2" t="s">
        <v>1082</v>
      </c>
      <c r="H337" s="2" t="s">
        <v>1083</v>
      </c>
      <c r="I337" s="2" t="s">
        <v>1084</v>
      </c>
    </row>
    <row r="338" ht="15.75" customHeight="1">
      <c r="A338" s="1">
        <v>45610.0</v>
      </c>
      <c r="B338" s="2" t="s">
        <v>35</v>
      </c>
      <c r="C338" s="2" t="s">
        <v>272</v>
      </c>
      <c r="D338" s="5">
        <v>879.78</v>
      </c>
      <c r="E338" s="5">
        <v>1.0</v>
      </c>
      <c r="F338" s="6">
        <v>879.78</v>
      </c>
      <c r="G338" s="2" t="s">
        <v>1085</v>
      </c>
      <c r="H338" s="2" t="s">
        <v>1086</v>
      </c>
      <c r="I338" s="2" t="s">
        <v>1087</v>
      </c>
    </row>
    <row r="339" ht="15.75" customHeight="1">
      <c r="A339" s="1">
        <v>45610.0</v>
      </c>
      <c r="B339" s="2" t="s">
        <v>35</v>
      </c>
      <c r="C339" s="2" t="s">
        <v>10</v>
      </c>
      <c r="D339" s="5">
        <v>1001.15</v>
      </c>
      <c r="E339" s="5">
        <v>4.0</v>
      </c>
      <c r="F339" s="6">
        <v>4004.6</v>
      </c>
      <c r="G339" s="2" t="s">
        <v>1088</v>
      </c>
      <c r="H339" s="2" t="s">
        <v>1089</v>
      </c>
      <c r="I339" s="2" t="s">
        <v>1090</v>
      </c>
    </row>
    <row r="340" ht="15.75" customHeight="1">
      <c r="A340" s="1">
        <v>45610.0</v>
      </c>
      <c r="B340" s="2" t="s">
        <v>9</v>
      </c>
      <c r="C340" s="2" t="s">
        <v>36</v>
      </c>
      <c r="D340" s="5">
        <v>2224.61</v>
      </c>
      <c r="E340" s="5">
        <v>4.0</v>
      </c>
      <c r="F340" s="6">
        <v>8898.44</v>
      </c>
      <c r="G340" s="2" t="s">
        <v>1091</v>
      </c>
      <c r="H340" s="2" t="s">
        <v>1092</v>
      </c>
      <c r="I340" s="2" t="s">
        <v>1093</v>
      </c>
    </row>
    <row r="341" ht="15.75" customHeight="1">
      <c r="A341" s="1">
        <v>45610.0</v>
      </c>
      <c r="B341" s="2" t="s">
        <v>14</v>
      </c>
      <c r="C341" s="2" t="s">
        <v>132</v>
      </c>
      <c r="D341" s="5">
        <v>563.11</v>
      </c>
      <c r="E341" s="5">
        <v>1.0</v>
      </c>
      <c r="F341" s="6">
        <v>563.11</v>
      </c>
      <c r="G341" s="2" t="s">
        <v>1094</v>
      </c>
      <c r="H341" s="2" t="s">
        <v>1095</v>
      </c>
      <c r="I341" s="2" t="s">
        <v>1096</v>
      </c>
    </row>
    <row r="342" ht="15.75" customHeight="1">
      <c r="A342" s="1">
        <v>45610.0</v>
      </c>
      <c r="B342" s="2" t="s">
        <v>35</v>
      </c>
      <c r="C342" s="2" t="s">
        <v>344</v>
      </c>
      <c r="D342" s="5">
        <v>1165.81</v>
      </c>
      <c r="E342" s="5">
        <v>1.0</v>
      </c>
      <c r="F342" s="6">
        <v>1165.81</v>
      </c>
      <c r="G342" s="2" t="s">
        <v>1097</v>
      </c>
      <c r="H342" s="2" t="s">
        <v>1098</v>
      </c>
      <c r="I342" s="2" t="s">
        <v>1099</v>
      </c>
    </row>
    <row r="343" ht="15.75" customHeight="1">
      <c r="A343" s="1">
        <v>45610.0</v>
      </c>
      <c r="B343" s="2" t="s">
        <v>14</v>
      </c>
      <c r="C343" s="2" t="s">
        <v>125</v>
      </c>
      <c r="D343" s="5">
        <v>718.69</v>
      </c>
      <c r="E343" s="5">
        <v>4.0</v>
      </c>
      <c r="F343" s="6">
        <v>2874.76</v>
      </c>
      <c r="G343" s="2" t="s">
        <v>1100</v>
      </c>
      <c r="H343" s="2" t="s">
        <v>1101</v>
      </c>
      <c r="I343" s="2" t="s">
        <v>1102</v>
      </c>
    </row>
    <row r="344" ht="15.75" customHeight="1">
      <c r="A344" s="1">
        <v>45610.0</v>
      </c>
      <c r="B344" s="2" t="s">
        <v>9</v>
      </c>
      <c r="C344" s="2" t="s">
        <v>1103</v>
      </c>
      <c r="D344" s="5">
        <v>2474.36</v>
      </c>
      <c r="E344" s="5">
        <v>2.0</v>
      </c>
      <c r="F344" s="6">
        <v>4948.72</v>
      </c>
      <c r="G344" s="2" t="s">
        <v>1104</v>
      </c>
      <c r="H344" s="2" t="s">
        <v>1105</v>
      </c>
      <c r="I344" s="2" t="s">
        <v>1106</v>
      </c>
    </row>
    <row r="345" ht="15.75" customHeight="1">
      <c r="A345" s="1">
        <v>45610.0</v>
      </c>
      <c r="B345" s="2" t="s">
        <v>75</v>
      </c>
      <c r="C345" s="2" t="s">
        <v>182</v>
      </c>
      <c r="D345" s="5">
        <v>1876.88</v>
      </c>
      <c r="E345" s="5">
        <v>4.0</v>
      </c>
      <c r="F345" s="6">
        <v>7507.52</v>
      </c>
      <c r="G345" s="2" t="s">
        <v>1107</v>
      </c>
      <c r="H345" s="2" t="s">
        <v>1108</v>
      </c>
      <c r="I345" s="2" t="s">
        <v>1109</v>
      </c>
    </row>
    <row r="346" ht="15.75" customHeight="1">
      <c r="A346" s="1">
        <v>45611.0</v>
      </c>
      <c r="B346" s="2" t="s">
        <v>35</v>
      </c>
      <c r="C346" s="2" t="s">
        <v>132</v>
      </c>
      <c r="D346" s="5">
        <v>450.01</v>
      </c>
      <c r="E346" s="5">
        <v>4.0</v>
      </c>
      <c r="F346" s="6">
        <v>1800.04</v>
      </c>
      <c r="G346" s="2" t="s">
        <v>1110</v>
      </c>
      <c r="H346" s="2" t="s">
        <v>1111</v>
      </c>
      <c r="I346" s="2" t="s">
        <v>1112</v>
      </c>
    </row>
    <row r="347" ht="15.75" customHeight="1">
      <c r="A347" s="1">
        <v>45611.0</v>
      </c>
      <c r="B347" s="3" t="s">
        <v>30</v>
      </c>
      <c r="C347" s="2" t="s">
        <v>67</v>
      </c>
      <c r="D347" s="5">
        <v>1808.18</v>
      </c>
      <c r="E347" s="5">
        <v>5.0</v>
      </c>
      <c r="F347" s="6">
        <v>9040.9</v>
      </c>
      <c r="G347" s="2" t="s">
        <v>1113</v>
      </c>
      <c r="H347" s="2" t="s">
        <v>1114</v>
      </c>
      <c r="I347" s="2" t="s">
        <v>1115</v>
      </c>
    </row>
    <row r="348" ht="15.75" customHeight="1">
      <c r="A348" s="1">
        <v>45611.0</v>
      </c>
      <c r="B348" s="2" t="s">
        <v>75</v>
      </c>
      <c r="C348" s="2" t="s">
        <v>182</v>
      </c>
      <c r="D348" s="5">
        <v>914.84</v>
      </c>
      <c r="E348" s="5">
        <v>4.0</v>
      </c>
      <c r="F348" s="6">
        <v>3659.36</v>
      </c>
      <c r="G348" s="2" t="s">
        <v>1116</v>
      </c>
      <c r="H348" s="2" t="s">
        <v>1117</v>
      </c>
      <c r="I348" s="7" t="s">
        <v>1118</v>
      </c>
    </row>
    <row r="349" ht="15.75" customHeight="1">
      <c r="A349" s="1">
        <v>45611.0</v>
      </c>
      <c r="B349" s="2" t="s">
        <v>58</v>
      </c>
      <c r="C349" s="2" t="s">
        <v>76</v>
      </c>
      <c r="D349" s="5">
        <v>210.37</v>
      </c>
      <c r="E349" s="5">
        <v>1.0</v>
      </c>
      <c r="F349" s="6">
        <v>210.37</v>
      </c>
      <c r="G349" s="2" t="s">
        <v>1119</v>
      </c>
      <c r="H349" s="2" t="s">
        <v>1120</v>
      </c>
      <c r="I349" s="2" t="s">
        <v>1121</v>
      </c>
    </row>
    <row r="350" ht="15.75" customHeight="1">
      <c r="A350" s="1">
        <v>45611.0</v>
      </c>
      <c r="B350" s="2" t="s">
        <v>35</v>
      </c>
      <c r="C350" s="2" t="s">
        <v>63</v>
      </c>
      <c r="D350" s="5">
        <v>1767.16</v>
      </c>
      <c r="E350" s="5">
        <v>1.0</v>
      </c>
      <c r="F350" s="6">
        <v>1767.16</v>
      </c>
      <c r="G350" s="2" t="s">
        <v>1122</v>
      </c>
      <c r="H350" s="2" t="s">
        <v>1123</v>
      </c>
      <c r="I350" s="2" t="s">
        <v>1124</v>
      </c>
    </row>
    <row r="351" ht="15.75" customHeight="1">
      <c r="A351" s="1">
        <v>45611.0</v>
      </c>
      <c r="B351" s="2" t="s">
        <v>58</v>
      </c>
      <c r="C351" s="2" t="s">
        <v>430</v>
      </c>
      <c r="D351" s="5">
        <v>1832.97</v>
      </c>
      <c r="E351" s="5">
        <v>2.0</v>
      </c>
      <c r="F351" s="6">
        <v>3665.94</v>
      </c>
      <c r="G351" s="2" t="s">
        <v>1125</v>
      </c>
      <c r="H351" s="2" t="s">
        <v>1126</v>
      </c>
      <c r="I351" s="2" t="s">
        <v>1127</v>
      </c>
    </row>
    <row r="352" ht="15.75" customHeight="1">
      <c r="A352" s="1">
        <v>45611.0</v>
      </c>
      <c r="B352" s="2" t="s">
        <v>58</v>
      </c>
      <c r="C352" s="2" t="s">
        <v>67</v>
      </c>
      <c r="D352" s="5">
        <v>1159.32</v>
      </c>
      <c r="E352" s="5">
        <v>5.0</v>
      </c>
      <c r="F352" s="6">
        <v>5796.6</v>
      </c>
      <c r="G352" s="2" t="s">
        <v>1128</v>
      </c>
      <c r="H352" s="2" t="s">
        <v>1129</v>
      </c>
      <c r="I352" s="2" t="s">
        <v>1130</v>
      </c>
    </row>
    <row r="353" ht="15.75" customHeight="1">
      <c r="A353" s="1">
        <v>45611.0</v>
      </c>
      <c r="B353" s="2" t="s">
        <v>14</v>
      </c>
      <c r="C353" s="2" t="s">
        <v>125</v>
      </c>
      <c r="D353" s="5">
        <v>120.49</v>
      </c>
      <c r="E353" s="5">
        <v>3.0</v>
      </c>
      <c r="F353" s="6">
        <v>361.47</v>
      </c>
      <c r="G353" s="2" t="s">
        <v>1131</v>
      </c>
      <c r="H353" s="2" t="s">
        <v>1132</v>
      </c>
      <c r="I353" s="2" t="s">
        <v>1133</v>
      </c>
    </row>
    <row r="354" ht="15.75" customHeight="1">
      <c r="A354" s="1">
        <v>45611.0</v>
      </c>
      <c r="B354" s="2" t="s">
        <v>75</v>
      </c>
      <c r="C354" s="2" t="s">
        <v>373</v>
      </c>
      <c r="D354" s="5">
        <v>84.76</v>
      </c>
      <c r="E354" s="5">
        <v>4.0</v>
      </c>
      <c r="F354" s="6">
        <v>339.04</v>
      </c>
      <c r="G354" s="2" t="s">
        <v>1134</v>
      </c>
      <c r="H354" s="2" t="s">
        <v>1135</v>
      </c>
      <c r="I354" s="2" t="s">
        <v>1136</v>
      </c>
    </row>
    <row r="355" ht="15.75" customHeight="1">
      <c r="A355" s="1">
        <v>45611.0</v>
      </c>
      <c r="B355" s="2" t="s">
        <v>14</v>
      </c>
      <c r="C355" s="2" t="s">
        <v>163</v>
      </c>
      <c r="D355" s="5">
        <v>969.37</v>
      </c>
      <c r="E355" s="5">
        <v>3.0</v>
      </c>
      <c r="F355" s="6">
        <v>2908.11</v>
      </c>
      <c r="G355" s="2" t="s">
        <v>1137</v>
      </c>
      <c r="H355" s="2" t="s">
        <v>1138</v>
      </c>
      <c r="I355" s="2" t="s">
        <v>1139</v>
      </c>
    </row>
    <row r="356" ht="15.75" customHeight="1">
      <c r="A356" s="1">
        <v>45611.0</v>
      </c>
      <c r="B356" s="2" t="s">
        <v>58</v>
      </c>
      <c r="C356" s="2" t="s">
        <v>132</v>
      </c>
      <c r="D356" s="5">
        <v>1318.47</v>
      </c>
      <c r="E356" s="5">
        <v>1.0</v>
      </c>
      <c r="F356" s="6">
        <v>1318.47</v>
      </c>
      <c r="G356" s="2" t="s">
        <v>1140</v>
      </c>
      <c r="H356" s="2" t="s">
        <v>1141</v>
      </c>
      <c r="I356" s="2" t="s">
        <v>1142</v>
      </c>
    </row>
    <row r="357" ht="15.75" customHeight="1">
      <c r="A357" s="1">
        <v>45611.0</v>
      </c>
      <c r="B357" s="2" t="s">
        <v>58</v>
      </c>
      <c r="C357" s="2" t="s">
        <v>186</v>
      </c>
      <c r="D357" s="5">
        <v>1943.33</v>
      </c>
      <c r="E357" s="5">
        <v>1.0</v>
      </c>
      <c r="F357" s="6">
        <v>1943.33</v>
      </c>
      <c r="G357" s="2" t="s">
        <v>1143</v>
      </c>
      <c r="H357" s="2" t="s">
        <v>1144</v>
      </c>
      <c r="I357" s="2" t="s">
        <v>1145</v>
      </c>
    </row>
    <row r="358" ht="15.75" customHeight="1">
      <c r="A358" s="1">
        <v>45611.0</v>
      </c>
      <c r="B358" s="2" t="s">
        <v>35</v>
      </c>
      <c r="C358" s="2" t="s">
        <v>54</v>
      </c>
      <c r="D358" s="5">
        <v>2040.92</v>
      </c>
      <c r="E358" s="5">
        <v>1.0</v>
      </c>
      <c r="F358" s="6">
        <v>2040.92</v>
      </c>
      <c r="G358" s="2" t="s">
        <v>1146</v>
      </c>
      <c r="H358" s="2" t="s">
        <v>1147</v>
      </c>
      <c r="I358" s="2" t="s">
        <v>1148</v>
      </c>
    </row>
    <row r="359" ht="15.75" customHeight="1">
      <c r="A359" s="1">
        <v>45611.0</v>
      </c>
      <c r="B359" s="2" t="s">
        <v>58</v>
      </c>
      <c r="C359" s="2" t="s">
        <v>373</v>
      </c>
      <c r="D359" s="5">
        <v>1626.83</v>
      </c>
      <c r="E359" s="5">
        <v>1.0</v>
      </c>
      <c r="F359" s="6">
        <v>1626.83</v>
      </c>
      <c r="G359" s="2" t="s">
        <v>1149</v>
      </c>
      <c r="H359" s="2" t="s">
        <v>1150</v>
      </c>
      <c r="I359" s="7" t="s">
        <v>1151</v>
      </c>
    </row>
    <row r="360" ht="15.75" customHeight="1">
      <c r="A360" s="1">
        <v>45612.0</v>
      </c>
      <c r="B360" s="3" t="s">
        <v>30</v>
      </c>
      <c r="C360" s="2" t="s">
        <v>67</v>
      </c>
      <c r="D360" s="5">
        <v>1137.01</v>
      </c>
      <c r="E360" s="5">
        <v>3.0</v>
      </c>
      <c r="F360" s="6">
        <v>3411.03</v>
      </c>
      <c r="G360" s="2" t="s">
        <v>1152</v>
      </c>
      <c r="H360" s="2" t="s">
        <v>1153</v>
      </c>
      <c r="I360" s="2" t="s">
        <v>1154</v>
      </c>
    </row>
    <row r="361" ht="15.75" customHeight="1">
      <c r="A361" s="1">
        <v>45612.0</v>
      </c>
      <c r="B361" s="2" t="s">
        <v>75</v>
      </c>
      <c r="C361" s="2" t="s">
        <v>121</v>
      </c>
      <c r="D361" s="5">
        <v>1216.59</v>
      </c>
      <c r="E361" s="5">
        <v>3.0</v>
      </c>
      <c r="F361" s="6">
        <v>3649.77</v>
      </c>
      <c r="G361" s="2" t="s">
        <v>1155</v>
      </c>
      <c r="H361" s="2" t="s">
        <v>1156</v>
      </c>
      <c r="I361" s="2" t="s">
        <v>1157</v>
      </c>
    </row>
    <row r="362" ht="15.75" customHeight="1">
      <c r="A362" s="1">
        <v>45612.0</v>
      </c>
      <c r="B362" s="2" t="s">
        <v>14</v>
      </c>
      <c r="C362" s="2" t="s">
        <v>81</v>
      </c>
      <c r="D362" s="5">
        <v>1141.88</v>
      </c>
      <c r="E362" s="5">
        <v>5.0</v>
      </c>
      <c r="F362" s="6">
        <v>5709.4</v>
      </c>
      <c r="G362" s="2" t="s">
        <v>1158</v>
      </c>
      <c r="H362" s="2" t="s">
        <v>1159</v>
      </c>
      <c r="I362" s="2" t="s">
        <v>1160</v>
      </c>
    </row>
    <row r="363" ht="15.75" customHeight="1">
      <c r="A363" s="1">
        <v>45612.0</v>
      </c>
      <c r="B363" s="2" t="s">
        <v>9</v>
      </c>
      <c r="C363" s="2" t="s">
        <v>163</v>
      </c>
      <c r="D363" s="5">
        <v>416.81</v>
      </c>
      <c r="E363" s="5">
        <v>2.0</v>
      </c>
      <c r="F363" s="6">
        <v>833.62</v>
      </c>
      <c r="G363" s="2" t="s">
        <v>1161</v>
      </c>
      <c r="H363" s="2" t="s">
        <v>1162</v>
      </c>
      <c r="I363" s="2" t="s">
        <v>1163</v>
      </c>
    </row>
    <row r="364" ht="15.75" customHeight="1">
      <c r="A364" s="1">
        <v>45612.0</v>
      </c>
      <c r="B364" s="2" t="s">
        <v>9</v>
      </c>
      <c r="C364" s="2" t="s">
        <v>15</v>
      </c>
      <c r="D364" s="5">
        <v>347.49</v>
      </c>
      <c r="E364" s="5">
        <v>5.0</v>
      </c>
      <c r="F364" s="6">
        <v>1737.45</v>
      </c>
      <c r="G364" s="2" t="s">
        <v>1164</v>
      </c>
      <c r="H364" s="2" t="s">
        <v>1165</v>
      </c>
      <c r="I364" s="2" t="s">
        <v>1166</v>
      </c>
    </row>
    <row r="365" ht="15.75" customHeight="1">
      <c r="A365" s="1">
        <v>45612.0</v>
      </c>
      <c r="B365" s="2" t="s">
        <v>58</v>
      </c>
      <c r="C365" s="2" t="s">
        <v>190</v>
      </c>
      <c r="D365" s="5">
        <v>1346.1</v>
      </c>
      <c r="E365" s="5">
        <v>1.0</v>
      </c>
      <c r="F365" s="6">
        <v>1346.1</v>
      </c>
      <c r="G365" s="2" t="s">
        <v>1167</v>
      </c>
      <c r="H365" s="2" t="s">
        <v>1168</v>
      </c>
      <c r="I365" s="2" t="s">
        <v>1169</v>
      </c>
    </row>
    <row r="366" ht="15.75" customHeight="1">
      <c r="A366" s="1">
        <v>45612.0</v>
      </c>
      <c r="B366" s="2" t="s">
        <v>58</v>
      </c>
      <c r="C366" s="2" t="s">
        <v>311</v>
      </c>
      <c r="D366" s="5">
        <v>1101.82</v>
      </c>
      <c r="E366" s="5">
        <v>5.0</v>
      </c>
      <c r="F366" s="6">
        <v>5509.1</v>
      </c>
      <c r="G366" s="2" t="s">
        <v>1170</v>
      </c>
      <c r="H366" s="2" t="s">
        <v>1171</v>
      </c>
      <c r="I366" s="2" t="s">
        <v>1172</v>
      </c>
    </row>
    <row r="367" ht="15.75" customHeight="1">
      <c r="A367" s="1">
        <v>45612.0</v>
      </c>
      <c r="B367" s="2" t="s">
        <v>58</v>
      </c>
      <c r="C367" s="2" t="s">
        <v>182</v>
      </c>
      <c r="D367" s="5">
        <v>1843.37</v>
      </c>
      <c r="E367" s="5">
        <v>3.0</v>
      </c>
      <c r="F367" s="6">
        <v>5530.11</v>
      </c>
      <c r="G367" s="2" t="s">
        <v>1173</v>
      </c>
      <c r="H367" s="2" t="s">
        <v>1174</v>
      </c>
      <c r="I367" s="2" t="s">
        <v>1175</v>
      </c>
    </row>
    <row r="368" ht="15.75" customHeight="1">
      <c r="A368" s="1">
        <v>45612.0</v>
      </c>
      <c r="B368" s="2" t="s">
        <v>75</v>
      </c>
      <c r="C368" s="2" t="s">
        <v>389</v>
      </c>
      <c r="D368" s="5">
        <v>627.26</v>
      </c>
      <c r="E368" s="5">
        <v>1.0</v>
      </c>
      <c r="F368" s="6">
        <v>627.26</v>
      </c>
      <c r="G368" s="2" t="s">
        <v>1176</v>
      </c>
      <c r="H368" s="2" t="s">
        <v>1177</v>
      </c>
      <c r="I368" s="2" t="s">
        <v>1178</v>
      </c>
    </row>
    <row r="369" ht="15.75" customHeight="1">
      <c r="A369" s="1">
        <v>45612.0</v>
      </c>
      <c r="B369" s="2" t="s">
        <v>14</v>
      </c>
      <c r="C369" s="2" t="s">
        <v>373</v>
      </c>
      <c r="D369" s="5">
        <v>1375.44</v>
      </c>
      <c r="E369" s="5">
        <v>4.0</v>
      </c>
      <c r="F369" s="6">
        <v>5501.76</v>
      </c>
      <c r="G369" s="2" t="s">
        <v>1179</v>
      </c>
      <c r="H369" s="2" t="s">
        <v>1180</v>
      </c>
      <c r="I369" s="2" t="s">
        <v>1181</v>
      </c>
    </row>
    <row r="370" ht="15.75" customHeight="1">
      <c r="A370" s="1">
        <v>45612.0</v>
      </c>
      <c r="B370" s="2" t="s">
        <v>58</v>
      </c>
      <c r="C370" s="2" t="s">
        <v>389</v>
      </c>
      <c r="D370" s="5">
        <v>1397.49</v>
      </c>
      <c r="E370" s="5">
        <v>3.0</v>
      </c>
      <c r="F370" s="6">
        <v>4192.47</v>
      </c>
      <c r="G370" s="2" t="s">
        <v>1182</v>
      </c>
      <c r="H370" s="2" t="s">
        <v>1183</v>
      </c>
      <c r="I370" s="2" t="s">
        <v>1184</v>
      </c>
    </row>
    <row r="371" ht="15.75" customHeight="1">
      <c r="A371" s="1">
        <v>45612.0</v>
      </c>
      <c r="B371" s="2" t="s">
        <v>9</v>
      </c>
      <c r="C371" s="2" t="s">
        <v>67</v>
      </c>
      <c r="D371" s="5">
        <v>1203.93</v>
      </c>
      <c r="E371" s="5">
        <v>4.0</v>
      </c>
      <c r="F371" s="6">
        <v>4815.72</v>
      </c>
      <c r="G371" s="2" t="s">
        <v>1185</v>
      </c>
      <c r="H371" s="2" t="s">
        <v>1186</v>
      </c>
      <c r="I371" s="2" t="s">
        <v>1187</v>
      </c>
    </row>
    <row r="372" ht="15.75" customHeight="1">
      <c r="A372" s="1">
        <v>45612.0</v>
      </c>
      <c r="B372" s="2" t="s">
        <v>35</v>
      </c>
      <c r="C372" s="2" t="s">
        <v>59</v>
      </c>
      <c r="D372" s="5">
        <v>1441.97</v>
      </c>
      <c r="E372" s="5">
        <v>3.0</v>
      </c>
      <c r="F372" s="6">
        <v>4325.91</v>
      </c>
      <c r="G372" s="2" t="s">
        <v>1188</v>
      </c>
      <c r="H372" s="2" t="s">
        <v>1189</v>
      </c>
      <c r="I372" s="2" t="s">
        <v>1190</v>
      </c>
    </row>
    <row r="373" ht="15.75" customHeight="1">
      <c r="A373" s="1">
        <v>45612.0</v>
      </c>
      <c r="B373" s="2" t="s">
        <v>14</v>
      </c>
      <c r="C373" s="2" t="s">
        <v>63</v>
      </c>
      <c r="D373" s="5">
        <v>992.95</v>
      </c>
      <c r="E373" s="5">
        <v>3.0</v>
      </c>
      <c r="F373" s="6">
        <v>2978.85</v>
      </c>
      <c r="G373" s="2" t="s">
        <v>1191</v>
      </c>
      <c r="H373" s="2" t="s">
        <v>1192</v>
      </c>
      <c r="I373" s="2" t="s">
        <v>1193</v>
      </c>
    </row>
    <row r="374" ht="15.75" customHeight="1">
      <c r="A374" s="1">
        <v>45612.0</v>
      </c>
      <c r="B374" s="2" t="s">
        <v>35</v>
      </c>
      <c r="C374" s="2" t="s">
        <v>666</v>
      </c>
      <c r="D374" s="5">
        <v>456.65</v>
      </c>
      <c r="E374" s="5">
        <v>2.0</v>
      </c>
      <c r="F374" s="6">
        <v>913.3</v>
      </c>
      <c r="G374" s="2" t="s">
        <v>1194</v>
      </c>
      <c r="H374" s="2" t="s">
        <v>1195</v>
      </c>
      <c r="I374" s="2" t="s">
        <v>1196</v>
      </c>
    </row>
    <row r="375" ht="15.75" customHeight="1">
      <c r="A375" s="1">
        <v>45613.0</v>
      </c>
      <c r="B375" s="2" t="s">
        <v>35</v>
      </c>
      <c r="C375" s="2" t="s">
        <v>839</v>
      </c>
      <c r="D375" s="5">
        <v>2405.31</v>
      </c>
      <c r="E375" s="5">
        <v>5.0</v>
      </c>
      <c r="F375" s="4"/>
      <c r="G375" s="2" t="s">
        <v>1197</v>
      </c>
      <c r="H375" s="2" t="s">
        <v>1198</v>
      </c>
      <c r="I375" s="2" t="s">
        <v>1199</v>
      </c>
    </row>
    <row r="376" ht="15.75" customHeight="1">
      <c r="A376" s="1">
        <v>45613.0</v>
      </c>
      <c r="B376" s="2" t="s">
        <v>75</v>
      </c>
      <c r="C376" s="2" t="s">
        <v>15</v>
      </c>
      <c r="D376" s="5">
        <v>793.37</v>
      </c>
      <c r="E376" s="5">
        <v>2.0</v>
      </c>
      <c r="F376" s="6">
        <v>1586.74</v>
      </c>
      <c r="G376" s="2" t="s">
        <v>1200</v>
      </c>
      <c r="H376" s="2" t="s">
        <v>1201</v>
      </c>
      <c r="I376" s="2" t="s">
        <v>1202</v>
      </c>
    </row>
    <row r="377" ht="15.75" customHeight="1">
      <c r="A377" s="1">
        <v>45613.0</v>
      </c>
      <c r="B377" s="2" t="s">
        <v>75</v>
      </c>
      <c r="C377" s="2" t="s">
        <v>76</v>
      </c>
      <c r="D377" s="5">
        <v>2030.7</v>
      </c>
      <c r="E377" s="5">
        <v>2.0</v>
      </c>
      <c r="F377" s="6">
        <v>4061.4</v>
      </c>
      <c r="G377" s="2" t="s">
        <v>1203</v>
      </c>
      <c r="H377" s="2" t="s">
        <v>1204</v>
      </c>
      <c r="I377" s="2" t="s">
        <v>1205</v>
      </c>
    </row>
    <row r="378" ht="15.75" customHeight="1">
      <c r="A378" s="1">
        <v>45613.0</v>
      </c>
      <c r="B378" s="2" t="s">
        <v>75</v>
      </c>
      <c r="C378" s="2" t="s">
        <v>94</v>
      </c>
      <c r="D378" s="5">
        <v>2127.13</v>
      </c>
      <c r="E378" s="5">
        <v>1.0</v>
      </c>
      <c r="F378" s="6">
        <v>2127.13</v>
      </c>
      <c r="G378" s="2" t="s">
        <v>1206</v>
      </c>
      <c r="H378" s="2" t="s">
        <v>1207</v>
      </c>
      <c r="I378" s="2" t="s">
        <v>1208</v>
      </c>
    </row>
    <row r="379" ht="15.75" customHeight="1">
      <c r="A379" s="1">
        <v>45613.0</v>
      </c>
      <c r="B379" s="3" t="s">
        <v>30</v>
      </c>
      <c r="C379" s="2" t="s">
        <v>389</v>
      </c>
      <c r="D379" s="5">
        <v>2255.29</v>
      </c>
      <c r="E379" s="5">
        <v>3.0</v>
      </c>
      <c r="F379" s="6">
        <v>6765.87</v>
      </c>
      <c r="G379" s="2" t="s">
        <v>1209</v>
      </c>
      <c r="H379" s="2" t="s">
        <v>1210</v>
      </c>
      <c r="I379" s="2" t="s">
        <v>1211</v>
      </c>
    </row>
    <row r="380" ht="15.75" customHeight="1">
      <c r="A380" s="1">
        <v>45613.0</v>
      </c>
      <c r="B380" s="2" t="s">
        <v>75</v>
      </c>
      <c r="C380" s="2" t="s">
        <v>67</v>
      </c>
      <c r="D380" s="5">
        <v>808.48</v>
      </c>
      <c r="E380" s="5">
        <v>4.0</v>
      </c>
      <c r="F380" s="6">
        <v>3233.92</v>
      </c>
      <c r="G380" s="2" t="s">
        <v>1212</v>
      </c>
      <c r="H380" s="2" t="s">
        <v>1213</v>
      </c>
      <c r="I380" s="2" t="s">
        <v>1214</v>
      </c>
    </row>
    <row r="381" ht="15.75" customHeight="1">
      <c r="A381" s="1">
        <v>45613.0</v>
      </c>
      <c r="B381" s="2" t="s">
        <v>14</v>
      </c>
      <c r="C381" s="2" t="s">
        <v>10</v>
      </c>
      <c r="D381" s="5">
        <v>2142.82</v>
      </c>
      <c r="E381" s="5">
        <v>2.0</v>
      </c>
      <c r="F381" s="6">
        <v>4285.64</v>
      </c>
      <c r="G381" s="2" t="s">
        <v>1215</v>
      </c>
      <c r="H381" s="2" t="s">
        <v>1216</v>
      </c>
      <c r="I381" s="2" t="s">
        <v>1217</v>
      </c>
    </row>
    <row r="382" ht="15.75" customHeight="1">
      <c r="A382" s="1">
        <v>45613.0</v>
      </c>
      <c r="B382" s="2" t="s">
        <v>58</v>
      </c>
      <c r="C382" s="2" t="s">
        <v>121</v>
      </c>
      <c r="D382" s="5">
        <v>219.68</v>
      </c>
      <c r="E382" s="5">
        <v>4.0</v>
      </c>
      <c r="F382" s="6">
        <v>878.72</v>
      </c>
      <c r="G382" s="2" t="s">
        <v>1218</v>
      </c>
      <c r="H382" s="2" t="s">
        <v>1219</v>
      </c>
      <c r="I382" s="2" t="s">
        <v>1220</v>
      </c>
    </row>
    <row r="383" ht="15.75" customHeight="1">
      <c r="A383" s="1">
        <v>45613.0</v>
      </c>
      <c r="B383" s="3" t="s">
        <v>30</v>
      </c>
      <c r="C383" s="2" t="s">
        <v>344</v>
      </c>
      <c r="D383" s="5">
        <v>2269.51</v>
      </c>
      <c r="E383" s="5">
        <v>3.0</v>
      </c>
      <c r="F383" s="6">
        <v>6808.53</v>
      </c>
      <c r="G383" s="2" t="s">
        <v>1221</v>
      </c>
      <c r="H383" s="2" t="s">
        <v>1222</v>
      </c>
      <c r="I383" s="2" t="s">
        <v>1223</v>
      </c>
    </row>
    <row r="384" ht="15.75" customHeight="1">
      <c r="A384" s="1">
        <v>45613.0</v>
      </c>
      <c r="B384" s="2" t="s">
        <v>75</v>
      </c>
      <c r="C384" s="2" t="s">
        <v>163</v>
      </c>
      <c r="D384" s="5">
        <v>2002.21</v>
      </c>
      <c r="E384" s="5">
        <v>3.0</v>
      </c>
      <c r="F384" s="6">
        <v>6006.63</v>
      </c>
      <c r="G384" s="2" t="s">
        <v>1224</v>
      </c>
      <c r="H384" s="2" t="s">
        <v>1225</v>
      </c>
      <c r="I384" s="2" t="s">
        <v>1226</v>
      </c>
    </row>
    <row r="385" ht="15.75" customHeight="1">
      <c r="A385" s="1">
        <v>45613.0</v>
      </c>
      <c r="B385" s="3" t="s">
        <v>30</v>
      </c>
      <c r="C385" s="2" t="s">
        <v>399</v>
      </c>
      <c r="D385" s="5">
        <v>877.11</v>
      </c>
      <c r="E385" s="5">
        <v>1.0</v>
      </c>
      <c r="F385" s="6">
        <v>877.11</v>
      </c>
      <c r="G385" s="2" t="s">
        <v>1227</v>
      </c>
      <c r="H385" s="2" t="s">
        <v>1228</v>
      </c>
      <c r="I385" s="2" t="s">
        <v>1229</v>
      </c>
    </row>
    <row r="386" ht="15.75" customHeight="1">
      <c r="A386" s="1">
        <v>45613.0</v>
      </c>
      <c r="B386" s="3" t="s">
        <v>30</v>
      </c>
      <c r="C386" s="2" t="s">
        <v>233</v>
      </c>
      <c r="D386" s="5">
        <v>304.68</v>
      </c>
      <c r="E386" s="5">
        <v>5.0</v>
      </c>
      <c r="F386" s="6">
        <v>1523.4</v>
      </c>
      <c r="G386" s="2" t="s">
        <v>1230</v>
      </c>
      <c r="H386" s="2" t="s">
        <v>1231</v>
      </c>
      <c r="I386" s="2" t="s">
        <v>1232</v>
      </c>
    </row>
    <row r="387" ht="15.75" customHeight="1">
      <c r="A387" s="1">
        <v>45614.0</v>
      </c>
      <c r="B387" s="2" t="s">
        <v>58</v>
      </c>
      <c r="C387" s="2" t="s">
        <v>186</v>
      </c>
      <c r="D387" s="5">
        <v>1533.19</v>
      </c>
      <c r="E387" s="5">
        <v>4.0</v>
      </c>
      <c r="F387" s="6">
        <v>6132.76</v>
      </c>
      <c r="G387" s="2" t="s">
        <v>1233</v>
      </c>
      <c r="H387" s="2" t="s">
        <v>1234</v>
      </c>
      <c r="I387" s="2" t="s">
        <v>1235</v>
      </c>
    </row>
    <row r="388" ht="15.75" customHeight="1">
      <c r="A388" s="1">
        <v>45614.0</v>
      </c>
      <c r="B388" s="2" t="s">
        <v>9</v>
      </c>
      <c r="C388" s="2" t="s">
        <v>15</v>
      </c>
      <c r="D388" s="5">
        <v>1141.13</v>
      </c>
      <c r="E388" s="5">
        <v>3.0</v>
      </c>
      <c r="F388" s="6">
        <v>3423.39</v>
      </c>
      <c r="G388" s="2" t="s">
        <v>1236</v>
      </c>
      <c r="H388" s="2" t="s">
        <v>1237</v>
      </c>
      <c r="I388" s="2" t="s">
        <v>1238</v>
      </c>
    </row>
    <row r="389" ht="15.75" customHeight="1">
      <c r="A389" s="1">
        <v>45614.0</v>
      </c>
      <c r="B389" s="2" t="s">
        <v>14</v>
      </c>
      <c r="C389" s="2" t="s">
        <v>344</v>
      </c>
      <c r="D389" s="5">
        <v>890.76</v>
      </c>
      <c r="E389" s="5">
        <v>2.0</v>
      </c>
      <c r="F389" s="6">
        <v>1781.52</v>
      </c>
      <c r="G389" s="2" t="s">
        <v>1239</v>
      </c>
      <c r="H389" s="2" t="s">
        <v>1240</v>
      </c>
      <c r="I389" s="2" t="s">
        <v>1241</v>
      </c>
    </row>
    <row r="390" ht="15.75" customHeight="1">
      <c r="A390" s="1">
        <v>45614.0</v>
      </c>
      <c r="B390" s="2" t="s">
        <v>9</v>
      </c>
      <c r="C390" s="2" t="s">
        <v>666</v>
      </c>
      <c r="D390" s="5">
        <v>1307.54</v>
      </c>
      <c r="E390" s="5">
        <v>1.0</v>
      </c>
      <c r="F390" s="6">
        <v>1307.54</v>
      </c>
      <c r="G390" s="2" t="s">
        <v>1242</v>
      </c>
      <c r="H390" s="2" t="s">
        <v>1243</v>
      </c>
      <c r="I390" s="2" t="s">
        <v>1244</v>
      </c>
    </row>
    <row r="391" ht="15.75" customHeight="1">
      <c r="A391" s="1">
        <v>45614.0</v>
      </c>
      <c r="B391" s="2" t="s">
        <v>14</v>
      </c>
      <c r="C391" s="2" t="s">
        <v>10</v>
      </c>
      <c r="D391" s="5">
        <v>1178.53</v>
      </c>
      <c r="E391" s="5">
        <v>2.0</v>
      </c>
      <c r="F391" s="6">
        <v>2357.06</v>
      </c>
      <c r="G391" s="2" t="s">
        <v>1245</v>
      </c>
      <c r="H391" s="2" t="s">
        <v>1246</v>
      </c>
      <c r="I391" s="2" t="s">
        <v>1247</v>
      </c>
    </row>
    <row r="392" ht="15.75" customHeight="1">
      <c r="A392" s="1">
        <v>45614.0</v>
      </c>
      <c r="B392" s="2" t="s">
        <v>75</v>
      </c>
      <c r="C392" s="2" t="s">
        <v>255</v>
      </c>
      <c r="D392" s="5">
        <v>1217.56</v>
      </c>
      <c r="E392" s="5">
        <v>3.0</v>
      </c>
      <c r="F392" s="6">
        <v>3652.68</v>
      </c>
      <c r="G392" s="2" t="s">
        <v>1248</v>
      </c>
      <c r="H392" s="2" t="s">
        <v>1249</v>
      </c>
      <c r="I392" s="2" t="s">
        <v>1250</v>
      </c>
    </row>
    <row r="393" ht="15.75" customHeight="1">
      <c r="A393" s="1">
        <v>45614.0</v>
      </c>
      <c r="B393" s="2" t="s">
        <v>14</v>
      </c>
      <c r="C393" s="2" t="s">
        <v>76</v>
      </c>
      <c r="D393" s="5">
        <v>2191.24</v>
      </c>
      <c r="E393" s="5">
        <v>5.0</v>
      </c>
      <c r="F393" s="6">
        <v>10956.2</v>
      </c>
      <c r="G393" s="2" t="s">
        <v>1251</v>
      </c>
      <c r="H393" s="2" t="s">
        <v>1252</v>
      </c>
      <c r="I393" s="2" t="s">
        <v>1253</v>
      </c>
    </row>
    <row r="394" ht="15.75" customHeight="1">
      <c r="A394" s="1">
        <v>45614.0</v>
      </c>
      <c r="B394" s="2" t="s">
        <v>14</v>
      </c>
      <c r="C394" s="2" t="s">
        <v>373</v>
      </c>
      <c r="D394" s="5">
        <v>276.58</v>
      </c>
      <c r="E394" s="5">
        <v>1.0</v>
      </c>
      <c r="F394" s="6">
        <v>276.58</v>
      </c>
      <c r="G394" s="2" t="s">
        <v>1254</v>
      </c>
      <c r="H394" s="2" t="s">
        <v>1255</v>
      </c>
      <c r="I394" s="2" t="s">
        <v>1256</v>
      </c>
    </row>
    <row r="395" ht="15.75" customHeight="1">
      <c r="A395" s="1">
        <v>45614.0</v>
      </c>
      <c r="B395" s="2" t="s">
        <v>14</v>
      </c>
      <c r="C395" s="2" t="s">
        <v>59</v>
      </c>
      <c r="D395" s="5">
        <v>2426.87</v>
      </c>
      <c r="E395" s="5">
        <v>5.0</v>
      </c>
      <c r="F395" s="6">
        <v>12134.35</v>
      </c>
      <c r="G395" s="2" t="s">
        <v>1257</v>
      </c>
      <c r="H395" s="2" t="s">
        <v>1258</v>
      </c>
      <c r="I395" s="2" t="s">
        <v>1259</v>
      </c>
    </row>
    <row r="396" ht="15.75" customHeight="1">
      <c r="A396" s="1">
        <v>45615.0</v>
      </c>
      <c r="B396" s="2" t="s">
        <v>9</v>
      </c>
      <c r="C396" s="2" t="s">
        <v>63</v>
      </c>
      <c r="D396" s="5">
        <v>1077.1</v>
      </c>
      <c r="E396" s="5">
        <v>5.0</v>
      </c>
      <c r="F396" s="6">
        <v>5385.5</v>
      </c>
      <c r="G396" s="2" t="s">
        <v>1260</v>
      </c>
      <c r="H396" s="2" t="s">
        <v>1261</v>
      </c>
      <c r="I396" s="2" t="s">
        <v>1262</v>
      </c>
    </row>
    <row r="397" ht="15.75" customHeight="1">
      <c r="A397" s="1">
        <v>45615.0</v>
      </c>
      <c r="B397" s="3" t="s">
        <v>30</v>
      </c>
      <c r="C397" s="2" t="s">
        <v>186</v>
      </c>
      <c r="D397" s="5">
        <v>920.68</v>
      </c>
      <c r="E397" s="5">
        <v>3.0</v>
      </c>
      <c r="F397" s="6">
        <v>2762.04</v>
      </c>
      <c r="G397" s="2" t="s">
        <v>1263</v>
      </c>
      <c r="H397" s="2" t="s">
        <v>1264</v>
      </c>
      <c r="I397" s="2" t="s">
        <v>1265</v>
      </c>
    </row>
    <row r="398" ht="15.75" customHeight="1">
      <c r="A398" s="1">
        <v>45615.0</v>
      </c>
      <c r="B398" s="2" t="s">
        <v>35</v>
      </c>
      <c r="C398" s="2" t="s">
        <v>218</v>
      </c>
      <c r="D398" s="5">
        <v>1620.89</v>
      </c>
      <c r="E398" s="5">
        <v>3.0</v>
      </c>
      <c r="F398" s="6">
        <v>4862.67</v>
      </c>
      <c r="G398" s="2" t="s">
        <v>1266</v>
      </c>
      <c r="H398" s="2" t="s">
        <v>1267</v>
      </c>
      <c r="I398" s="2" t="s">
        <v>1268</v>
      </c>
    </row>
    <row r="399" ht="15.75" customHeight="1">
      <c r="A399" s="1">
        <v>45615.0</v>
      </c>
      <c r="B399" s="3" t="s">
        <v>30</v>
      </c>
      <c r="C399" s="2" t="s">
        <v>218</v>
      </c>
      <c r="D399" s="5">
        <v>653.09</v>
      </c>
      <c r="E399" s="5">
        <v>4.0</v>
      </c>
      <c r="F399" s="6">
        <v>2612.36</v>
      </c>
      <c r="G399" s="2" t="s">
        <v>1269</v>
      </c>
      <c r="H399" s="2" t="s">
        <v>1270</v>
      </c>
      <c r="I399" s="2" t="s">
        <v>1271</v>
      </c>
    </row>
    <row r="400" ht="15.75" customHeight="1">
      <c r="A400" s="1">
        <v>45615.0</v>
      </c>
      <c r="B400" s="3" t="s">
        <v>30</v>
      </c>
      <c r="C400" s="2" t="s">
        <v>229</v>
      </c>
      <c r="D400" s="5">
        <v>1057.56</v>
      </c>
      <c r="E400" s="5">
        <v>5.0</v>
      </c>
      <c r="F400" s="6">
        <v>5287.8</v>
      </c>
      <c r="G400" s="2" t="s">
        <v>1272</v>
      </c>
      <c r="H400" s="2" t="s">
        <v>1273</v>
      </c>
      <c r="I400" s="2" t="s">
        <v>1274</v>
      </c>
    </row>
    <row r="401" ht="15.75" customHeight="1">
      <c r="A401" s="1">
        <v>45615.0</v>
      </c>
      <c r="B401" s="2" t="s">
        <v>35</v>
      </c>
      <c r="C401" s="2" t="s">
        <v>63</v>
      </c>
      <c r="D401" s="5">
        <v>1292.9</v>
      </c>
      <c r="E401" s="5">
        <v>2.0</v>
      </c>
      <c r="F401" s="6">
        <v>2585.8</v>
      </c>
      <c r="G401" s="2" t="s">
        <v>1275</v>
      </c>
      <c r="H401" s="2" t="s">
        <v>1276</v>
      </c>
      <c r="I401" s="2" t="s">
        <v>1277</v>
      </c>
    </row>
    <row r="402" ht="15.75" customHeight="1">
      <c r="A402" s="1">
        <v>45615.0</v>
      </c>
      <c r="B402" s="2" t="s">
        <v>14</v>
      </c>
      <c r="C402" s="2" t="s">
        <v>31</v>
      </c>
      <c r="D402" s="5">
        <v>173.04</v>
      </c>
      <c r="E402" s="5">
        <v>2.0</v>
      </c>
      <c r="F402" s="6">
        <v>346.08</v>
      </c>
      <c r="G402" s="2" t="s">
        <v>1278</v>
      </c>
      <c r="H402" s="2" t="s">
        <v>1279</v>
      </c>
      <c r="I402" s="2" t="s">
        <v>1280</v>
      </c>
    </row>
    <row r="403" ht="15.75" customHeight="1">
      <c r="A403" s="1">
        <v>45615.0</v>
      </c>
      <c r="B403" s="2" t="s">
        <v>35</v>
      </c>
      <c r="C403" s="2" t="s">
        <v>85</v>
      </c>
      <c r="D403" s="5">
        <v>221.44</v>
      </c>
      <c r="E403" s="5">
        <v>3.0</v>
      </c>
      <c r="F403" s="6">
        <v>664.32</v>
      </c>
      <c r="G403" s="2" t="s">
        <v>1281</v>
      </c>
      <c r="H403" s="2" t="s">
        <v>1282</v>
      </c>
      <c r="I403" s="2" t="s">
        <v>1283</v>
      </c>
    </row>
    <row r="404" ht="15.75" customHeight="1">
      <c r="A404" s="1">
        <v>45615.0</v>
      </c>
      <c r="B404" s="3" t="s">
        <v>30</v>
      </c>
      <c r="C404" s="2" t="s">
        <v>153</v>
      </c>
      <c r="D404" s="5">
        <v>2185.04</v>
      </c>
      <c r="E404" s="5">
        <v>4.0</v>
      </c>
      <c r="F404" s="6">
        <v>8740.16</v>
      </c>
      <c r="G404" s="2" t="s">
        <v>1284</v>
      </c>
      <c r="H404" s="2" t="s">
        <v>1285</v>
      </c>
      <c r="I404" s="2" t="s">
        <v>1286</v>
      </c>
    </row>
    <row r="405" ht="15.75" customHeight="1">
      <c r="A405" s="1">
        <v>45615.0</v>
      </c>
      <c r="B405" s="2" t="s">
        <v>58</v>
      </c>
      <c r="C405" s="2" t="s">
        <v>389</v>
      </c>
      <c r="D405" s="5">
        <v>2214.19</v>
      </c>
      <c r="E405" s="5">
        <v>2.0</v>
      </c>
      <c r="F405" s="6">
        <v>4428.38</v>
      </c>
      <c r="G405" s="2" t="s">
        <v>1287</v>
      </c>
      <c r="H405" s="2" t="s">
        <v>1288</v>
      </c>
      <c r="I405" s="2" t="s">
        <v>1289</v>
      </c>
    </row>
    <row r="406" ht="15.75" customHeight="1">
      <c r="A406" s="8">
        <v>45615.0</v>
      </c>
      <c r="B406" s="2" t="s">
        <v>75</v>
      </c>
      <c r="C406" s="2" t="s">
        <v>666</v>
      </c>
      <c r="D406" s="5">
        <v>215.41</v>
      </c>
      <c r="E406" s="5">
        <v>1.0</v>
      </c>
      <c r="F406" s="6">
        <v>215.41</v>
      </c>
      <c r="G406" s="2" t="s">
        <v>1290</v>
      </c>
      <c r="H406" s="2" t="s">
        <v>1291</v>
      </c>
      <c r="I406" s="2" t="s">
        <v>1292</v>
      </c>
    </row>
    <row r="407" ht="15.75" customHeight="1">
      <c r="A407" s="1">
        <v>45615.0</v>
      </c>
      <c r="B407" s="2" t="s">
        <v>14</v>
      </c>
      <c r="C407" s="2" t="s">
        <v>40</v>
      </c>
      <c r="D407" s="5">
        <v>1097.51</v>
      </c>
      <c r="E407" s="5">
        <v>1.0</v>
      </c>
      <c r="F407" s="6">
        <v>1097.51</v>
      </c>
      <c r="G407" s="2" t="s">
        <v>1293</v>
      </c>
      <c r="H407" s="2" t="s">
        <v>1294</v>
      </c>
      <c r="I407" s="2" t="s">
        <v>1295</v>
      </c>
    </row>
    <row r="408" ht="15.75" customHeight="1">
      <c r="A408" s="1">
        <v>45615.0</v>
      </c>
      <c r="B408" s="3" t="s">
        <v>30</v>
      </c>
      <c r="C408" s="2" t="s">
        <v>40</v>
      </c>
      <c r="D408" s="5">
        <v>1868.8</v>
      </c>
      <c r="E408" s="5">
        <v>2.0</v>
      </c>
      <c r="F408" s="6">
        <v>3737.6</v>
      </c>
      <c r="G408" s="2" t="s">
        <v>1296</v>
      </c>
      <c r="H408" s="2" t="s">
        <v>1297</v>
      </c>
      <c r="I408" s="2" t="s">
        <v>1298</v>
      </c>
    </row>
    <row r="409" ht="15.75" customHeight="1">
      <c r="A409" s="1">
        <v>45616.0</v>
      </c>
      <c r="B409" s="2" t="s">
        <v>35</v>
      </c>
      <c r="C409" s="2" t="s">
        <v>63</v>
      </c>
      <c r="D409" s="5">
        <v>2371.6</v>
      </c>
      <c r="E409" s="5">
        <v>2.0</v>
      </c>
      <c r="F409" s="6">
        <v>4743.2</v>
      </c>
      <c r="G409" s="2" t="s">
        <v>1299</v>
      </c>
      <c r="H409" s="2" t="s">
        <v>1300</v>
      </c>
      <c r="I409" s="2" t="s">
        <v>1301</v>
      </c>
    </row>
    <row r="410" ht="15.75" customHeight="1">
      <c r="A410" s="1">
        <v>45616.0</v>
      </c>
      <c r="B410" s="2" t="s">
        <v>58</v>
      </c>
      <c r="C410" s="2" t="s">
        <v>94</v>
      </c>
      <c r="D410" s="5">
        <v>1752.92</v>
      </c>
      <c r="E410" s="5">
        <v>1.0</v>
      </c>
      <c r="F410" s="6">
        <v>1752.92</v>
      </c>
      <c r="G410" s="2" t="s">
        <v>1302</v>
      </c>
      <c r="H410" s="2" t="s">
        <v>1303</v>
      </c>
      <c r="I410" s="2" t="s">
        <v>1304</v>
      </c>
    </row>
    <row r="411" ht="15.75" customHeight="1">
      <c r="A411" s="1">
        <v>45616.0</v>
      </c>
      <c r="B411" s="2" t="s">
        <v>58</v>
      </c>
      <c r="C411" s="2" t="s">
        <v>344</v>
      </c>
      <c r="D411" s="5">
        <v>210.76</v>
      </c>
      <c r="E411" s="5">
        <v>5.0</v>
      </c>
      <c r="F411" s="6">
        <v>1053.8</v>
      </c>
      <c r="G411" s="2" t="s">
        <v>1305</v>
      </c>
      <c r="H411" s="2" t="s">
        <v>1306</v>
      </c>
      <c r="I411" s="2" t="s">
        <v>1307</v>
      </c>
    </row>
    <row r="412" ht="15.75" customHeight="1">
      <c r="A412" s="1">
        <v>45616.0</v>
      </c>
      <c r="B412" s="2" t="s">
        <v>35</v>
      </c>
      <c r="C412" s="2" t="s">
        <v>50</v>
      </c>
      <c r="D412" s="5">
        <v>1145.32</v>
      </c>
      <c r="E412" s="5">
        <v>1.0</v>
      </c>
      <c r="F412" s="6">
        <v>1145.32</v>
      </c>
      <c r="G412" s="2" t="s">
        <v>1308</v>
      </c>
      <c r="H412" s="2" t="s">
        <v>1309</v>
      </c>
      <c r="I412" s="2" t="s">
        <v>1310</v>
      </c>
    </row>
    <row r="413" ht="15.75" customHeight="1">
      <c r="A413" s="1">
        <v>45616.0</v>
      </c>
      <c r="B413" s="2" t="s">
        <v>9</v>
      </c>
      <c r="C413" s="2" t="s">
        <v>36</v>
      </c>
      <c r="D413" s="5">
        <v>1017.27</v>
      </c>
      <c r="E413" s="5">
        <v>1.0</v>
      </c>
      <c r="F413" s="6">
        <v>1017.27</v>
      </c>
      <c r="G413" s="2" t="s">
        <v>1311</v>
      </c>
      <c r="H413" s="2" t="s">
        <v>1312</v>
      </c>
      <c r="I413" s="2" t="s">
        <v>1313</v>
      </c>
    </row>
    <row r="414" ht="15.75" customHeight="1">
      <c r="A414" s="1">
        <v>45616.0</v>
      </c>
      <c r="B414" s="2" t="s">
        <v>75</v>
      </c>
      <c r="C414" s="2" t="s">
        <v>67</v>
      </c>
      <c r="D414" s="5">
        <v>2246.65</v>
      </c>
      <c r="E414" s="5">
        <v>2.0</v>
      </c>
      <c r="F414" s="6">
        <v>4493.3</v>
      </c>
      <c r="G414" s="2" t="s">
        <v>1314</v>
      </c>
      <c r="H414" s="2" t="s">
        <v>1315</v>
      </c>
      <c r="I414" s="2" t="s">
        <v>1316</v>
      </c>
    </row>
    <row r="415" ht="15.75" customHeight="1">
      <c r="A415" s="1">
        <v>45616.0</v>
      </c>
      <c r="B415" s="2" t="s">
        <v>35</v>
      </c>
      <c r="C415" s="2" t="s">
        <v>67</v>
      </c>
      <c r="D415" s="5">
        <v>269.57</v>
      </c>
      <c r="E415" s="5">
        <v>5.0</v>
      </c>
      <c r="F415" s="6">
        <v>1347.85</v>
      </c>
      <c r="G415" s="2" t="s">
        <v>1317</v>
      </c>
      <c r="H415" s="2" t="s">
        <v>1318</v>
      </c>
      <c r="I415" s="2" t="s">
        <v>1319</v>
      </c>
    </row>
    <row r="416" ht="15.75" customHeight="1">
      <c r="A416" s="1">
        <v>45616.0</v>
      </c>
      <c r="B416" s="2" t="s">
        <v>58</v>
      </c>
      <c r="C416" s="2" t="s">
        <v>190</v>
      </c>
      <c r="D416" s="5">
        <v>2189.91</v>
      </c>
      <c r="E416" s="5">
        <v>3.0</v>
      </c>
      <c r="F416" s="6">
        <v>6569.73</v>
      </c>
      <c r="G416" s="2" t="s">
        <v>1320</v>
      </c>
      <c r="H416" s="2" t="s">
        <v>1321</v>
      </c>
      <c r="I416" s="2" t="s">
        <v>1322</v>
      </c>
    </row>
    <row r="417" ht="15.75" customHeight="1">
      <c r="A417" s="1">
        <v>45616.0</v>
      </c>
      <c r="B417" s="2" t="s">
        <v>58</v>
      </c>
      <c r="C417" s="2" t="s">
        <v>132</v>
      </c>
      <c r="D417" s="5">
        <v>1130.03</v>
      </c>
      <c r="E417" s="5">
        <v>5.0</v>
      </c>
      <c r="F417" s="6">
        <v>5650.15</v>
      </c>
      <c r="G417" s="2" t="s">
        <v>1323</v>
      </c>
      <c r="H417" s="2" t="s">
        <v>1324</v>
      </c>
      <c r="I417" s="2" t="s">
        <v>1325</v>
      </c>
    </row>
    <row r="418" ht="15.75" customHeight="1">
      <c r="A418" s="1">
        <v>45616.0</v>
      </c>
      <c r="B418" s="3" t="s">
        <v>30</v>
      </c>
      <c r="C418" s="2" t="s">
        <v>666</v>
      </c>
      <c r="D418" s="5">
        <v>1485.74</v>
      </c>
      <c r="E418" s="5">
        <v>3.0</v>
      </c>
      <c r="F418" s="6">
        <v>4457.22</v>
      </c>
      <c r="G418" s="2" t="s">
        <v>1326</v>
      </c>
      <c r="H418" s="2" t="s">
        <v>1327</v>
      </c>
      <c r="I418" s="2" t="s">
        <v>1328</v>
      </c>
    </row>
    <row r="419" ht="15.75" customHeight="1">
      <c r="A419" s="1">
        <v>45616.0</v>
      </c>
      <c r="B419" s="2" t="s">
        <v>35</v>
      </c>
      <c r="C419" s="2" t="s">
        <v>171</v>
      </c>
      <c r="D419" s="5">
        <v>1570.12</v>
      </c>
      <c r="E419" s="5">
        <v>3.0</v>
      </c>
      <c r="F419" s="6">
        <v>4710.36</v>
      </c>
      <c r="G419" s="2" t="s">
        <v>1329</v>
      </c>
      <c r="H419" s="2" t="s">
        <v>1330</v>
      </c>
      <c r="I419" s="2" t="s">
        <v>1331</v>
      </c>
    </row>
    <row r="420" ht="15.75" customHeight="1">
      <c r="A420" s="1">
        <v>45616.0</v>
      </c>
      <c r="B420" s="2" t="s">
        <v>9</v>
      </c>
      <c r="C420" s="2" t="s">
        <v>225</v>
      </c>
      <c r="D420" s="5">
        <v>2469.75</v>
      </c>
      <c r="E420" s="5">
        <v>3.0</v>
      </c>
      <c r="F420" s="6">
        <v>7409.25</v>
      </c>
      <c r="G420" s="2" t="s">
        <v>1332</v>
      </c>
      <c r="H420" s="2" t="s">
        <v>1333</v>
      </c>
      <c r="I420" s="2" t="s">
        <v>1334</v>
      </c>
    </row>
    <row r="421" ht="15.75" customHeight="1">
      <c r="A421" s="1">
        <v>45617.0</v>
      </c>
      <c r="B421" s="2" t="s">
        <v>9</v>
      </c>
      <c r="C421" s="2" t="s">
        <v>90</v>
      </c>
      <c r="D421" s="5">
        <v>1738.96</v>
      </c>
      <c r="E421" s="5">
        <v>4.0</v>
      </c>
      <c r="F421" s="6">
        <v>6955.84</v>
      </c>
      <c r="G421" s="2" t="s">
        <v>1335</v>
      </c>
      <c r="H421" s="2" t="s">
        <v>1336</v>
      </c>
      <c r="I421" s="2" t="s">
        <v>1337</v>
      </c>
    </row>
    <row r="422" ht="15.75" customHeight="1">
      <c r="A422" s="1">
        <v>45617.0</v>
      </c>
      <c r="B422" s="2" t="s">
        <v>14</v>
      </c>
      <c r="C422" s="2" t="s">
        <v>182</v>
      </c>
      <c r="D422" s="5">
        <v>1987.27</v>
      </c>
      <c r="E422" s="5">
        <v>3.0</v>
      </c>
      <c r="F422" s="6">
        <v>5961.81</v>
      </c>
      <c r="G422" s="2" t="s">
        <v>1338</v>
      </c>
      <c r="H422" s="2" t="s">
        <v>1339</v>
      </c>
      <c r="I422" s="2" t="s">
        <v>1340</v>
      </c>
    </row>
    <row r="423" ht="15.75" customHeight="1">
      <c r="A423" s="1">
        <v>45617.0</v>
      </c>
      <c r="B423" s="2" t="s">
        <v>9</v>
      </c>
      <c r="C423" s="2" t="s">
        <v>59</v>
      </c>
      <c r="D423" s="5">
        <v>1640.14</v>
      </c>
      <c r="E423" s="5">
        <v>5.0</v>
      </c>
      <c r="F423" s="6">
        <v>8200.7</v>
      </c>
      <c r="G423" s="2" t="s">
        <v>1341</v>
      </c>
      <c r="H423" s="2" t="s">
        <v>1342</v>
      </c>
      <c r="I423" s="2" t="s">
        <v>1343</v>
      </c>
    </row>
    <row r="424" ht="15.75" customHeight="1">
      <c r="A424" s="1">
        <v>45617.0</v>
      </c>
      <c r="B424" s="2" t="s">
        <v>58</v>
      </c>
      <c r="C424" s="2" t="s">
        <v>430</v>
      </c>
      <c r="D424" s="5">
        <v>2420.41</v>
      </c>
      <c r="E424" s="5">
        <v>2.0</v>
      </c>
      <c r="F424" s="6">
        <v>4840.82</v>
      </c>
      <c r="G424" s="2" t="s">
        <v>1344</v>
      </c>
      <c r="H424" s="2" t="s">
        <v>1345</v>
      </c>
      <c r="I424" s="2" t="s">
        <v>1346</v>
      </c>
    </row>
    <row r="425" ht="15.75" customHeight="1">
      <c r="A425" s="1">
        <v>45617.0</v>
      </c>
      <c r="B425" s="2" t="s">
        <v>58</v>
      </c>
      <c r="C425" s="2" t="s">
        <v>225</v>
      </c>
      <c r="D425" s="5">
        <v>495.51</v>
      </c>
      <c r="E425" s="5">
        <v>2.0</v>
      </c>
      <c r="F425" s="6">
        <v>991.02</v>
      </c>
      <c r="G425" s="2" t="s">
        <v>1347</v>
      </c>
      <c r="H425" s="2" t="s">
        <v>1348</v>
      </c>
      <c r="I425" s="2" t="s">
        <v>1349</v>
      </c>
    </row>
    <row r="426" ht="15.75" customHeight="1">
      <c r="A426" s="1">
        <v>45617.0</v>
      </c>
      <c r="B426" s="2" t="s">
        <v>9</v>
      </c>
      <c r="C426" s="2" t="s">
        <v>344</v>
      </c>
      <c r="D426" s="5">
        <v>299.66</v>
      </c>
      <c r="E426" s="5">
        <v>3.0</v>
      </c>
      <c r="F426" s="6">
        <v>898.98</v>
      </c>
      <c r="G426" s="2" t="s">
        <v>1350</v>
      </c>
      <c r="H426" s="2" t="s">
        <v>1351</v>
      </c>
      <c r="I426" s="2" t="s">
        <v>1352</v>
      </c>
    </row>
    <row r="427" ht="15.75" customHeight="1">
      <c r="A427" s="1">
        <v>45617.0</v>
      </c>
      <c r="B427" s="2" t="s">
        <v>75</v>
      </c>
      <c r="C427" s="2" t="s">
        <v>229</v>
      </c>
      <c r="D427" s="5">
        <v>510.78</v>
      </c>
      <c r="E427" s="5">
        <v>3.0</v>
      </c>
      <c r="F427" s="6">
        <v>1532.34</v>
      </c>
      <c r="G427" s="2" t="s">
        <v>1353</v>
      </c>
      <c r="H427" s="2" t="s">
        <v>1354</v>
      </c>
      <c r="I427" s="2" t="s">
        <v>1355</v>
      </c>
    </row>
    <row r="428" ht="15.75" customHeight="1">
      <c r="A428" s="1">
        <v>45617.0</v>
      </c>
      <c r="B428" s="2" t="s">
        <v>116</v>
      </c>
      <c r="C428" s="2" t="s">
        <v>167</v>
      </c>
      <c r="D428" s="5">
        <v>2399.53</v>
      </c>
      <c r="E428" s="5">
        <v>3.0</v>
      </c>
      <c r="F428" s="4"/>
      <c r="G428" s="2" t="s">
        <v>1356</v>
      </c>
      <c r="H428" s="2" t="s">
        <v>1357</v>
      </c>
      <c r="I428" s="2" t="s">
        <v>1358</v>
      </c>
    </row>
    <row r="429" ht="15.75" customHeight="1">
      <c r="A429" s="1">
        <v>45617.0</v>
      </c>
      <c r="B429" s="2" t="s">
        <v>75</v>
      </c>
      <c r="C429" s="2" t="s">
        <v>23</v>
      </c>
      <c r="D429" s="2"/>
      <c r="E429" s="5">
        <v>4.0</v>
      </c>
      <c r="F429" s="6">
        <v>9635.4</v>
      </c>
      <c r="G429" s="2" t="s">
        <v>1359</v>
      </c>
      <c r="H429" s="2" t="s">
        <v>1360</v>
      </c>
      <c r="I429" s="2" t="s">
        <v>1361</v>
      </c>
    </row>
    <row r="430" ht="15.75" customHeight="1">
      <c r="A430" s="1">
        <v>45617.0</v>
      </c>
      <c r="B430" s="2" t="s">
        <v>9</v>
      </c>
      <c r="C430" s="2" t="s">
        <v>54</v>
      </c>
      <c r="D430" s="5">
        <v>1944.02</v>
      </c>
      <c r="E430" s="5">
        <v>1.0</v>
      </c>
      <c r="F430" s="6">
        <v>1944.02</v>
      </c>
      <c r="G430" s="2" t="s">
        <v>1362</v>
      </c>
      <c r="H430" s="2" t="s">
        <v>1363</v>
      </c>
      <c r="I430" s="2" t="s">
        <v>1364</v>
      </c>
    </row>
    <row r="431" ht="15.75" customHeight="1">
      <c r="A431" s="1">
        <v>45617.0</v>
      </c>
      <c r="B431" s="2" t="s">
        <v>14</v>
      </c>
      <c r="C431" s="2" t="s">
        <v>389</v>
      </c>
      <c r="D431" s="5">
        <v>1160.21</v>
      </c>
      <c r="E431" s="5">
        <v>2.0</v>
      </c>
      <c r="F431" s="6">
        <v>2320.42</v>
      </c>
      <c r="G431" s="2" t="s">
        <v>1365</v>
      </c>
      <c r="H431" s="2" t="s">
        <v>1366</v>
      </c>
      <c r="I431" s="2" t="s">
        <v>1367</v>
      </c>
    </row>
    <row r="432" ht="15.75" customHeight="1">
      <c r="A432" s="1">
        <v>45617.0</v>
      </c>
      <c r="B432" s="3" t="s">
        <v>30</v>
      </c>
      <c r="C432" s="2" t="s">
        <v>139</v>
      </c>
      <c r="D432" s="5">
        <v>536.87</v>
      </c>
      <c r="E432" s="5">
        <v>1.0</v>
      </c>
      <c r="F432" s="6">
        <v>536.87</v>
      </c>
      <c r="G432" s="2" t="s">
        <v>1368</v>
      </c>
      <c r="H432" s="2" t="s">
        <v>1369</v>
      </c>
      <c r="I432" s="2" t="s">
        <v>1370</v>
      </c>
    </row>
    <row r="433" ht="15.75" customHeight="1">
      <c r="A433" s="1">
        <v>45618.0</v>
      </c>
      <c r="B433" s="3" t="s">
        <v>30</v>
      </c>
      <c r="C433" s="2" t="s">
        <v>50</v>
      </c>
      <c r="D433" s="5">
        <v>416.62</v>
      </c>
      <c r="E433" s="5">
        <v>5.0</v>
      </c>
      <c r="F433" s="6">
        <v>2083.1</v>
      </c>
      <c r="G433" s="2" t="s">
        <v>1371</v>
      </c>
      <c r="H433" s="2" t="s">
        <v>1372</v>
      </c>
      <c r="I433" s="2" t="s">
        <v>1373</v>
      </c>
    </row>
    <row r="434" ht="15.75" customHeight="1">
      <c r="A434" s="1">
        <v>45618.0</v>
      </c>
      <c r="B434" s="2" t="s">
        <v>35</v>
      </c>
      <c r="C434" s="2" t="s">
        <v>430</v>
      </c>
      <c r="D434" s="5">
        <v>1175.45</v>
      </c>
      <c r="E434" s="5">
        <v>5.0</v>
      </c>
      <c r="F434" s="6">
        <v>5877.25</v>
      </c>
      <c r="G434" s="2" t="s">
        <v>1374</v>
      </c>
      <c r="H434" s="2" t="s">
        <v>1375</v>
      </c>
      <c r="I434" s="2" t="s">
        <v>1376</v>
      </c>
    </row>
    <row r="435" ht="15.75" customHeight="1">
      <c r="A435" s="1">
        <v>45618.0</v>
      </c>
      <c r="B435" s="2" t="s">
        <v>9</v>
      </c>
      <c r="C435" s="2" t="s">
        <v>430</v>
      </c>
      <c r="D435" s="5">
        <v>1273.61</v>
      </c>
      <c r="E435" s="5">
        <v>4.0</v>
      </c>
      <c r="F435" s="6">
        <v>5094.44</v>
      </c>
      <c r="G435" s="2" t="s">
        <v>1377</v>
      </c>
      <c r="H435" s="2" t="s">
        <v>1378</v>
      </c>
      <c r="I435" s="2" t="s">
        <v>1379</v>
      </c>
    </row>
    <row r="436" ht="15.75" customHeight="1">
      <c r="A436" s="1">
        <v>45618.0</v>
      </c>
      <c r="B436" s="2" t="s">
        <v>75</v>
      </c>
      <c r="C436" s="2" t="s">
        <v>50</v>
      </c>
      <c r="D436" s="5">
        <v>1402.66</v>
      </c>
      <c r="E436" s="5">
        <v>5.0</v>
      </c>
      <c r="F436" s="6">
        <v>7013.3</v>
      </c>
      <c r="G436" s="2" t="s">
        <v>1380</v>
      </c>
      <c r="H436" s="2" t="s">
        <v>1381</v>
      </c>
      <c r="I436" s="2" t="s">
        <v>1382</v>
      </c>
    </row>
    <row r="437" ht="15.75" customHeight="1">
      <c r="A437" s="1">
        <v>45618.0</v>
      </c>
      <c r="B437" s="3" t="s">
        <v>30</v>
      </c>
      <c r="C437" s="2" t="s">
        <v>10</v>
      </c>
      <c r="D437" s="5">
        <v>197.09</v>
      </c>
      <c r="E437" s="5">
        <v>3.0</v>
      </c>
      <c r="F437" s="6">
        <v>591.27</v>
      </c>
      <c r="G437" s="2" t="s">
        <v>1383</v>
      </c>
      <c r="H437" s="2" t="s">
        <v>1384</v>
      </c>
      <c r="I437" s="2" t="s">
        <v>1385</v>
      </c>
    </row>
    <row r="438" ht="15.75" customHeight="1">
      <c r="A438" s="1">
        <v>45618.0</v>
      </c>
      <c r="B438" s="2" t="s">
        <v>35</v>
      </c>
      <c r="C438" s="2" t="s">
        <v>430</v>
      </c>
      <c r="D438" s="5">
        <v>2135.79</v>
      </c>
      <c r="E438" s="5">
        <v>1.0</v>
      </c>
      <c r="F438" s="6">
        <v>2135.79</v>
      </c>
      <c r="G438" s="2" t="s">
        <v>1386</v>
      </c>
      <c r="H438" s="2" t="s">
        <v>1387</v>
      </c>
      <c r="I438" s="2" t="s">
        <v>1388</v>
      </c>
    </row>
    <row r="439" ht="15.75" customHeight="1">
      <c r="A439" s="1">
        <v>45618.0</v>
      </c>
      <c r="B439" s="3" t="s">
        <v>30</v>
      </c>
      <c r="C439" s="2" t="s">
        <v>373</v>
      </c>
      <c r="D439" s="5">
        <v>752.56</v>
      </c>
      <c r="E439" s="5">
        <v>2.0</v>
      </c>
      <c r="F439" s="6">
        <v>1505.12</v>
      </c>
      <c r="G439" s="2" t="s">
        <v>1389</v>
      </c>
      <c r="H439" s="2" t="s">
        <v>1390</v>
      </c>
      <c r="I439" s="2" t="s">
        <v>1391</v>
      </c>
    </row>
    <row r="440" ht="15.75" customHeight="1">
      <c r="A440" s="1">
        <v>45618.0</v>
      </c>
      <c r="B440" s="2" t="s">
        <v>14</v>
      </c>
      <c r="C440" s="2" t="s">
        <v>117</v>
      </c>
      <c r="D440" s="5">
        <v>2198.02</v>
      </c>
      <c r="E440" s="5">
        <v>1.0</v>
      </c>
      <c r="F440" s="6">
        <v>2198.02</v>
      </c>
      <c r="G440" s="2" t="s">
        <v>1392</v>
      </c>
      <c r="H440" s="2" t="s">
        <v>1393</v>
      </c>
      <c r="I440" s="2" t="s">
        <v>1394</v>
      </c>
    </row>
    <row r="441" ht="15.75" customHeight="1">
      <c r="A441" s="1">
        <v>45618.0</v>
      </c>
      <c r="B441" s="2" t="s">
        <v>14</v>
      </c>
      <c r="C441" s="2" t="s">
        <v>153</v>
      </c>
      <c r="D441" s="5">
        <v>342.64</v>
      </c>
      <c r="E441" s="5">
        <v>2.0</v>
      </c>
      <c r="F441" s="6">
        <v>685.28</v>
      </c>
      <c r="G441" s="2" t="s">
        <v>1395</v>
      </c>
      <c r="H441" s="2" t="s">
        <v>1396</v>
      </c>
      <c r="I441" s="2" t="s">
        <v>1397</v>
      </c>
    </row>
    <row r="442" ht="15.75" customHeight="1">
      <c r="A442" s="1">
        <v>45618.0</v>
      </c>
      <c r="B442" s="2" t="s">
        <v>9</v>
      </c>
      <c r="C442" s="2" t="s">
        <v>315</v>
      </c>
      <c r="D442" s="5">
        <v>1249.46</v>
      </c>
      <c r="E442" s="5">
        <v>1.0</v>
      </c>
      <c r="F442" s="6">
        <v>1249.46</v>
      </c>
      <c r="G442" s="2" t="s">
        <v>1398</v>
      </c>
      <c r="H442" s="2" t="s">
        <v>1399</v>
      </c>
      <c r="I442" s="7" t="s">
        <v>1400</v>
      </c>
    </row>
    <row r="443" ht="15.75" customHeight="1">
      <c r="A443" s="1">
        <v>45618.0</v>
      </c>
      <c r="B443" s="2" t="s">
        <v>35</v>
      </c>
      <c r="C443" s="2" t="s">
        <v>15</v>
      </c>
      <c r="D443" s="5">
        <v>463.17</v>
      </c>
      <c r="E443" s="5">
        <v>3.0</v>
      </c>
      <c r="F443" s="6">
        <v>1389.51</v>
      </c>
      <c r="G443" s="2" t="s">
        <v>1401</v>
      </c>
      <c r="H443" s="2" t="s">
        <v>1402</v>
      </c>
      <c r="I443" s="2" t="s">
        <v>1403</v>
      </c>
    </row>
    <row r="444" ht="15.75" customHeight="1">
      <c r="A444" s="1">
        <v>45618.0</v>
      </c>
      <c r="B444" s="2" t="s">
        <v>14</v>
      </c>
      <c r="C444" s="2" t="s">
        <v>10</v>
      </c>
      <c r="D444" s="5">
        <v>776.93</v>
      </c>
      <c r="E444" s="5">
        <v>1.0</v>
      </c>
      <c r="F444" s="6">
        <v>776.93</v>
      </c>
      <c r="G444" s="2" t="s">
        <v>1404</v>
      </c>
      <c r="H444" s="2" t="s">
        <v>1405</v>
      </c>
      <c r="I444" s="2" t="s">
        <v>1406</v>
      </c>
    </row>
    <row r="445" ht="15.75" customHeight="1">
      <c r="A445" s="1">
        <v>45619.0</v>
      </c>
      <c r="B445" s="2" t="s">
        <v>1407</v>
      </c>
      <c r="C445" s="2" t="s">
        <v>282</v>
      </c>
      <c r="D445" s="5">
        <v>405.62</v>
      </c>
      <c r="E445" s="5">
        <v>4.0</v>
      </c>
      <c r="F445" s="6">
        <v>1622.48</v>
      </c>
      <c r="G445" s="2" t="s">
        <v>1408</v>
      </c>
      <c r="H445" s="2" t="s">
        <v>1409</v>
      </c>
      <c r="I445" s="2" t="s">
        <v>1410</v>
      </c>
    </row>
    <row r="446" ht="15.75" customHeight="1">
      <c r="A446" s="1">
        <v>45619.0</v>
      </c>
      <c r="B446" s="2" t="s">
        <v>58</v>
      </c>
      <c r="C446" s="2" t="s">
        <v>121</v>
      </c>
      <c r="D446" s="2"/>
      <c r="E446" s="5">
        <v>3.0</v>
      </c>
      <c r="F446" s="6">
        <v>4978.62</v>
      </c>
      <c r="G446" s="2" t="s">
        <v>1411</v>
      </c>
      <c r="H446" s="2" t="s">
        <v>1412</v>
      </c>
      <c r="I446" s="7" t="s">
        <v>1413</v>
      </c>
    </row>
    <row r="447" ht="15.75" customHeight="1">
      <c r="A447" s="1">
        <v>45619.0</v>
      </c>
      <c r="B447" s="3" t="s">
        <v>30</v>
      </c>
      <c r="C447" s="2" t="s">
        <v>94</v>
      </c>
      <c r="D447" s="5">
        <v>1848.95</v>
      </c>
      <c r="E447" s="5">
        <v>3.0</v>
      </c>
      <c r="F447" s="6">
        <v>5546.85</v>
      </c>
      <c r="G447" s="2" t="s">
        <v>1414</v>
      </c>
      <c r="H447" s="2" t="s">
        <v>1415</v>
      </c>
      <c r="I447" s="2" t="s">
        <v>1416</v>
      </c>
    </row>
    <row r="448" ht="15.75" customHeight="1">
      <c r="A448" s="1">
        <v>45619.0</v>
      </c>
      <c r="B448" s="2" t="s">
        <v>58</v>
      </c>
      <c r="C448" s="2" t="s">
        <v>132</v>
      </c>
      <c r="D448" s="5">
        <v>793.75</v>
      </c>
      <c r="E448" s="5">
        <v>1.0</v>
      </c>
      <c r="F448" s="6">
        <v>793.75</v>
      </c>
      <c r="G448" s="2" t="s">
        <v>1417</v>
      </c>
      <c r="H448" s="2" t="s">
        <v>1418</v>
      </c>
      <c r="I448" s="2" t="s">
        <v>1419</v>
      </c>
    </row>
    <row r="449" ht="15.75" customHeight="1">
      <c r="A449" s="1">
        <v>45619.0</v>
      </c>
      <c r="B449" s="2" t="s">
        <v>75</v>
      </c>
      <c r="C449" s="2" t="s">
        <v>163</v>
      </c>
      <c r="D449" s="5">
        <v>919.27</v>
      </c>
      <c r="E449" s="5">
        <v>2.0</v>
      </c>
      <c r="F449" s="6">
        <v>1838.54</v>
      </c>
      <c r="G449" s="2" t="s">
        <v>1420</v>
      </c>
      <c r="H449" s="2" t="s">
        <v>1421</v>
      </c>
      <c r="I449" s="2" t="s">
        <v>1422</v>
      </c>
    </row>
    <row r="450" ht="15.75" customHeight="1">
      <c r="A450" s="1">
        <v>45619.0</v>
      </c>
      <c r="B450" s="2" t="s">
        <v>75</v>
      </c>
      <c r="C450" s="2" t="s">
        <v>85</v>
      </c>
      <c r="D450" s="5">
        <v>807.71</v>
      </c>
      <c r="E450" s="5">
        <v>3.0</v>
      </c>
      <c r="F450" s="6">
        <v>2423.13</v>
      </c>
      <c r="G450" s="2" t="s">
        <v>1423</v>
      </c>
      <c r="H450" s="2" t="s">
        <v>1424</v>
      </c>
      <c r="I450" s="2" t="s">
        <v>1425</v>
      </c>
    </row>
    <row r="451" ht="15.75" customHeight="1">
      <c r="A451" s="1">
        <v>45619.0</v>
      </c>
      <c r="B451" s="2" t="s">
        <v>14</v>
      </c>
      <c r="C451" s="2" t="s">
        <v>153</v>
      </c>
      <c r="D451" s="5">
        <v>1768.49</v>
      </c>
      <c r="E451" s="5">
        <v>2.0</v>
      </c>
      <c r="F451" s="6">
        <v>3536.98</v>
      </c>
      <c r="G451" s="2" t="s">
        <v>1426</v>
      </c>
      <c r="H451" s="2" t="s">
        <v>1427</v>
      </c>
      <c r="I451" s="2" t="s">
        <v>1428</v>
      </c>
    </row>
    <row r="452" ht="15.75" customHeight="1">
      <c r="A452" s="1">
        <v>45619.0</v>
      </c>
      <c r="B452" s="2" t="s">
        <v>35</v>
      </c>
      <c r="C452" s="2" t="s">
        <v>139</v>
      </c>
      <c r="D452" s="5">
        <v>2009.76</v>
      </c>
      <c r="E452" s="5">
        <v>1.0</v>
      </c>
      <c r="F452" s="6">
        <v>2009.76</v>
      </c>
      <c r="G452" s="2" t="s">
        <v>1429</v>
      </c>
      <c r="H452" s="2" t="s">
        <v>1430</v>
      </c>
      <c r="I452" s="2" t="s">
        <v>1431</v>
      </c>
    </row>
    <row r="453" ht="15.75" customHeight="1">
      <c r="A453" s="1">
        <v>45619.0</v>
      </c>
      <c r="B453" s="2" t="s">
        <v>75</v>
      </c>
      <c r="C453" s="2" t="s">
        <v>282</v>
      </c>
      <c r="D453" s="5">
        <v>72.37</v>
      </c>
      <c r="E453" s="5">
        <v>4.0</v>
      </c>
      <c r="F453" s="6">
        <v>289.48</v>
      </c>
      <c r="G453" s="2" t="s">
        <v>1432</v>
      </c>
      <c r="H453" s="2" t="s">
        <v>1433</v>
      </c>
      <c r="I453" s="2" t="s">
        <v>1434</v>
      </c>
    </row>
    <row r="454" ht="15.75" customHeight="1">
      <c r="A454" s="1">
        <v>45620.0</v>
      </c>
      <c r="B454" s="2" t="s">
        <v>14</v>
      </c>
      <c r="C454" s="2" t="s">
        <v>389</v>
      </c>
      <c r="D454" s="5">
        <v>443.81</v>
      </c>
      <c r="E454" s="5">
        <v>1.0</v>
      </c>
      <c r="F454" s="6">
        <v>443.81</v>
      </c>
      <c r="G454" s="2" t="s">
        <v>1435</v>
      </c>
      <c r="H454" s="2" t="s">
        <v>1436</v>
      </c>
      <c r="I454" s="7" t="s">
        <v>1437</v>
      </c>
    </row>
    <row r="455" ht="15.75" customHeight="1">
      <c r="A455" s="1">
        <v>45620.0</v>
      </c>
      <c r="B455" s="2" t="s">
        <v>9</v>
      </c>
      <c r="C455" s="2" t="s">
        <v>229</v>
      </c>
      <c r="D455" s="5">
        <v>1628.77</v>
      </c>
      <c r="E455" s="5">
        <v>4.0</v>
      </c>
      <c r="F455" s="6">
        <v>6515.08</v>
      </c>
      <c r="G455" s="2" t="s">
        <v>1438</v>
      </c>
      <c r="H455" s="2" t="s">
        <v>1439</v>
      </c>
      <c r="I455" s="2" t="s">
        <v>1440</v>
      </c>
    </row>
    <row r="456" ht="15.75" customHeight="1">
      <c r="A456" s="1">
        <v>45620.0</v>
      </c>
      <c r="B456" s="3" t="s">
        <v>30</v>
      </c>
      <c r="C456" s="2" t="s">
        <v>167</v>
      </c>
      <c r="D456" s="5">
        <v>1752.21</v>
      </c>
      <c r="E456" s="5">
        <v>4.0</v>
      </c>
      <c r="F456" s="6">
        <v>7008.84</v>
      </c>
      <c r="G456" s="2" t="s">
        <v>1441</v>
      </c>
      <c r="H456" s="2" t="s">
        <v>1442</v>
      </c>
      <c r="I456" s="2" t="s">
        <v>1443</v>
      </c>
    </row>
    <row r="457" ht="15.75" customHeight="1">
      <c r="A457" s="1">
        <v>45620.0</v>
      </c>
      <c r="B457" s="2" t="s">
        <v>75</v>
      </c>
      <c r="C457" s="2" t="s">
        <v>81</v>
      </c>
      <c r="D457" s="5">
        <v>649.99</v>
      </c>
      <c r="E457" s="5">
        <v>2.0</v>
      </c>
      <c r="F457" s="6">
        <v>1299.98</v>
      </c>
      <c r="G457" s="2" t="s">
        <v>1444</v>
      </c>
      <c r="H457" s="2" t="s">
        <v>1445</v>
      </c>
      <c r="I457" s="2" t="s">
        <v>1446</v>
      </c>
    </row>
    <row r="458" ht="15.75" customHeight="1">
      <c r="A458" s="1">
        <v>45620.0</v>
      </c>
      <c r="B458" s="3" t="s">
        <v>30</v>
      </c>
      <c r="C458" s="2" t="s">
        <v>63</v>
      </c>
      <c r="D458" s="5">
        <v>1768.85</v>
      </c>
      <c r="E458" s="5">
        <v>5.0</v>
      </c>
      <c r="F458" s="6">
        <v>8844.25</v>
      </c>
      <c r="G458" s="2" t="s">
        <v>1447</v>
      </c>
      <c r="H458" s="2" t="s">
        <v>1448</v>
      </c>
      <c r="I458" s="2" t="s">
        <v>1449</v>
      </c>
    </row>
    <row r="459" ht="15.75" customHeight="1">
      <c r="A459" s="1">
        <v>45620.0</v>
      </c>
      <c r="B459" s="2" t="s">
        <v>75</v>
      </c>
      <c r="C459" s="2" t="s">
        <v>218</v>
      </c>
      <c r="D459" s="5">
        <v>103.69</v>
      </c>
      <c r="E459" s="5">
        <v>5.0</v>
      </c>
      <c r="F459" s="6">
        <v>518.45</v>
      </c>
      <c r="G459" s="2" t="s">
        <v>1450</v>
      </c>
      <c r="H459" s="2" t="s">
        <v>1451</v>
      </c>
      <c r="I459" s="2" t="s">
        <v>1452</v>
      </c>
    </row>
    <row r="460" ht="15.75" customHeight="1">
      <c r="A460" s="1">
        <v>45620.0</v>
      </c>
      <c r="B460" s="2" t="s">
        <v>14</v>
      </c>
      <c r="C460" s="2" t="s">
        <v>182</v>
      </c>
      <c r="D460" s="5">
        <v>2028.12</v>
      </c>
      <c r="E460" s="5">
        <v>5.0</v>
      </c>
      <c r="F460" s="6">
        <v>10140.6</v>
      </c>
      <c r="G460" s="2" t="s">
        <v>1453</v>
      </c>
      <c r="H460" s="2" t="s">
        <v>1454</v>
      </c>
      <c r="I460" s="2" t="s">
        <v>1455</v>
      </c>
    </row>
    <row r="461" ht="15.75" customHeight="1">
      <c r="A461" s="1">
        <v>45620.0</v>
      </c>
      <c r="B461" s="2" t="s">
        <v>14</v>
      </c>
      <c r="C461" s="2" t="s">
        <v>182</v>
      </c>
      <c r="D461" s="5">
        <v>428.02</v>
      </c>
      <c r="E461" s="5">
        <v>3.0</v>
      </c>
      <c r="F461" s="6">
        <v>1284.06</v>
      </c>
      <c r="G461" s="2" t="s">
        <v>1456</v>
      </c>
      <c r="H461" s="2" t="s">
        <v>1457</v>
      </c>
      <c r="I461" s="2" t="s">
        <v>1458</v>
      </c>
    </row>
    <row r="462" ht="15.75" customHeight="1">
      <c r="A462" s="1">
        <v>45620.0</v>
      </c>
      <c r="B462" s="2" t="s">
        <v>9</v>
      </c>
      <c r="C462" s="2" t="s">
        <v>430</v>
      </c>
      <c r="D462" s="5">
        <v>1880.14</v>
      </c>
      <c r="E462" s="5">
        <v>1.0</v>
      </c>
      <c r="F462" s="6">
        <v>1880.14</v>
      </c>
      <c r="G462" s="2" t="s">
        <v>1459</v>
      </c>
      <c r="H462" s="2" t="s">
        <v>1460</v>
      </c>
      <c r="I462" s="2" t="s">
        <v>1461</v>
      </c>
    </row>
    <row r="463" ht="15.75" customHeight="1">
      <c r="A463" s="1">
        <v>45621.0</v>
      </c>
      <c r="B463" s="2" t="s">
        <v>35</v>
      </c>
      <c r="C463" s="2" t="s">
        <v>139</v>
      </c>
      <c r="D463" s="5">
        <v>1061.61</v>
      </c>
      <c r="E463" s="5">
        <v>1.0</v>
      </c>
      <c r="F463" s="6">
        <v>1061.61</v>
      </c>
      <c r="G463" s="2" t="s">
        <v>1462</v>
      </c>
      <c r="H463" s="2" t="s">
        <v>1463</v>
      </c>
      <c r="I463" s="2" t="s">
        <v>1464</v>
      </c>
    </row>
    <row r="464" ht="15.75" customHeight="1">
      <c r="A464" s="1">
        <v>45621.0</v>
      </c>
      <c r="B464" s="2" t="s">
        <v>58</v>
      </c>
      <c r="C464" s="2" t="s">
        <v>71</v>
      </c>
      <c r="D464" s="5">
        <v>564.69</v>
      </c>
      <c r="E464" s="5">
        <v>2.0</v>
      </c>
      <c r="F464" s="6">
        <v>1129.38</v>
      </c>
      <c r="G464" s="2" t="s">
        <v>1465</v>
      </c>
      <c r="H464" s="2" t="s">
        <v>1466</v>
      </c>
      <c r="I464" s="2" t="s">
        <v>1467</v>
      </c>
    </row>
    <row r="465" ht="15.75" customHeight="1">
      <c r="A465" s="1">
        <v>45621.0</v>
      </c>
      <c r="B465" s="2" t="s">
        <v>14</v>
      </c>
      <c r="C465" s="2" t="s">
        <v>125</v>
      </c>
      <c r="D465" s="5">
        <v>1847.8</v>
      </c>
      <c r="E465" s="5">
        <v>3.0</v>
      </c>
      <c r="F465" s="6">
        <v>5543.4</v>
      </c>
      <c r="G465" s="2" t="s">
        <v>1468</v>
      </c>
      <c r="H465" s="2" t="s">
        <v>1469</v>
      </c>
      <c r="I465" s="2" t="s">
        <v>1470</v>
      </c>
    </row>
    <row r="466" ht="15.75" customHeight="1">
      <c r="A466" s="1">
        <v>45621.0</v>
      </c>
      <c r="B466" s="2" t="s">
        <v>1407</v>
      </c>
      <c r="C466" s="2" t="s">
        <v>139</v>
      </c>
      <c r="D466" s="5">
        <v>2476.21</v>
      </c>
      <c r="E466" s="5">
        <v>5.0</v>
      </c>
      <c r="F466" s="6">
        <v>12381.05</v>
      </c>
      <c r="G466" s="2" t="s">
        <v>1471</v>
      </c>
      <c r="H466" s="2" t="s">
        <v>1472</v>
      </c>
      <c r="I466" s="2" t="s">
        <v>1473</v>
      </c>
    </row>
    <row r="467" ht="15.75" customHeight="1">
      <c r="A467" s="1">
        <v>45621.0</v>
      </c>
      <c r="B467" s="2" t="s">
        <v>9</v>
      </c>
      <c r="C467" s="2" t="s">
        <v>1474</v>
      </c>
      <c r="D467" s="5">
        <v>1155.26</v>
      </c>
      <c r="E467" s="5">
        <v>4.0</v>
      </c>
      <c r="F467" s="6">
        <v>4621.04</v>
      </c>
      <c r="G467" s="2" t="s">
        <v>1475</v>
      </c>
      <c r="H467" s="2" t="s">
        <v>1476</v>
      </c>
      <c r="I467" s="2" t="s">
        <v>1477</v>
      </c>
    </row>
    <row r="468" ht="15.75" customHeight="1">
      <c r="A468" s="1">
        <v>45621.0</v>
      </c>
      <c r="B468" s="3" t="s">
        <v>30</v>
      </c>
      <c r="C468" s="2" t="s">
        <v>36</v>
      </c>
      <c r="D468" s="5">
        <v>1022.39</v>
      </c>
      <c r="E468" s="5">
        <v>2.0</v>
      </c>
      <c r="F468" s="6">
        <v>2044.78</v>
      </c>
      <c r="G468" s="2" t="s">
        <v>1478</v>
      </c>
      <c r="H468" s="2" t="s">
        <v>1479</v>
      </c>
      <c r="I468" s="2" t="s">
        <v>1480</v>
      </c>
    </row>
    <row r="469" ht="15.75" customHeight="1">
      <c r="A469" s="1">
        <v>45621.0</v>
      </c>
      <c r="B469" s="3" t="s">
        <v>30</v>
      </c>
      <c r="C469" s="2" t="s">
        <v>282</v>
      </c>
      <c r="D469" s="5">
        <v>110.53</v>
      </c>
      <c r="E469" s="5">
        <v>5.0</v>
      </c>
      <c r="F469" s="6">
        <v>552.65</v>
      </c>
      <c r="G469" s="2" t="s">
        <v>1481</v>
      </c>
      <c r="H469" s="2" t="s">
        <v>1482</v>
      </c>
      <c r="I469" s="2" t="s">
        <v>1483</v>
      </c>
    </row>
    <row r="470" ht="15.75" customHeight="1">
      <c r="A470" s="1">
        <v>45621.0</v>
      </c>
      <c r="B470" s="2" t="s">
        <v>35</v>
      </c>
      <c r="C470" s="2" t="s">
        <v>125</v>
      </c>
      <c r="D470" s="5">
        <v>1453.6</v>
      </c>
      <c r="E470" s="5">
        <v>4.0</v>
      </c>
      <c r="F470" s="6">
        <v>5814.4</v>
      </c>
      <c r="G470" s="2" t="s">
        <v>1484</v>
      </c>
      <c r="H470" s="2" t="s">
        <v>1485</v>
      </c>
      <c r="I470" s="2" t="s">
        <v>1486</v>
      </c>
    </row>
    <row r="471" ht="15.75" customHeight="1">
      <c r="A471" s="1">
        <v>45621.0</v>
      </c>
      <c r="B471" s="2" t="s">
        <v>35</v>
      </c>
      <c r="C471" s="2" t="s">
        <v>255</v>
      </c>
      <c r="D471" s="5">
        <v>2062.25</v>
      </c>
      <c r="E471" s="5">
        <v>3.0</v>
      </c>
      <c r="F471" s="6">
        <v>6186.75</v>
      </c>
      <c r="G471" s="2" t="s">
        <v>1487</v>
      </c>
      <c r="H471" s="2" t="s">
        <v>1488</v>
      </c>
      <c r="I471" s="2" t="s">
        <v>1489</v>
      </c>
    </row>
    <row r="472" ht="15.75" customHeight="1">
      <c r="A472" s="1">
        <v>45621.0</v>
      </c>
      <c r="B472" s="2" t="s">
        <v>9</v>
      </c>
      <c r="C472" s="2" t="s">
        <v>117</v>
      </c>
      <c r="D472" s="5">
        <v>1083.45</v>
      </c>
      <c r="E472" s="5">
        <v>5.0</v>
      </c>
      <c r="F472" s="6">
        <v>5417.25</v>
      </c>
      <c r="G472" s="2" t="s">
        <v>1490</v>
      </c>
      <c r="H472" s="2" t="s">
        <v>1491</v>
      </c>
      <c r="I472" s="2" t="s">
        <v>1492</v>
      </c>
    </row>
    <row r="473" ht="15.75" customHeight="1">
      <c r="A473" s="1">
        <v>45621.0</v>
      </c>
      <c r="B473" s="2" t="s">
        <v>14</v>
      </c>
      <c r="C473" s="2" t="s">
        <v>182</v>
      </c>
      <c r="D473" s="5">
        <v>2488.53</v>
      </c>
      <c r="E473" s="5">
        <v>1.0</v>
      </c>
      <c r="F473" s="6">
        <v>2488.53</v>
      </c>
      <c r="G473" s="2" t="s">
        <v>1493</v>
      </c>
      <c r="H473" s="2" t="s">
        <v>1494</v>
      </c>
      <c r="I473" s="2" t="s">
        <v>1495</v>
      </c>
    </row>
    <row r="474" ht="15.75" customHeight="1">
      <c r="A474" s="1">
        <v>45621.0</v>
      </c>
      <c r="B474" s="2" t="s">
        <v>75</v>
      </c>
      <c r="C474" s="2" t="s">
        <v>76</v>
      </c>
      <c r="D474" s="5">
        <v>2068.34</v>
      </c>
      <c r="E474" s="5">
        <v>2.0</v>
      </c>
      <c r="F474" s="6">
        <v>4136.68</v>
      </c>
      <c r="G474" s="2" t="s">
        <v>1496</v>
      </c>
      <c r="H474" s="2" t="s">
        <v>1497</v>
      </c>
      <c r="I474" s="2" t="s">
        <v>1498</v>
      </c>
    </row>
    <row r="475" ht="15.75" customHeight="1">
      <c r="A475" s="1">
        <v>45621.0</v>
      </c>
      <c r="B475" s="2" t="s">
        <v>14</v>
      </c>
      <c r="C475" s="2" t="s">
        <v>171</v>
      </c>
      <c r="D475" s="5">
        <v>1390.26</v>
      </c>
      <c r="E475" s="5">
        <v>1.0</v>
      </c>
      <c r="F475" s="6">
        <v>1390.26</v>
      </c>
      <c r="G475" s="2" t="s">
        <v>1499</v>
      </c>
      <c r="H475" s="2" t="s">
        <v>1500</v>
      </c>
      <c r="I475" s="2" t="s">
        <v>1501</v>
      </c>
    </row>
    <row r="476" ht="15.75" customHeight="1">
      <c r="A476" s="1">
        <v>45621.0</v>
      </c>
      <c r="B476" s="3" t="s">
        <v>30</v>
      </c>
      <c r="C476" s="2" t="s">
        <v>255</v>
      </c>
      <c r="D476" s="5">
        <v>1438.41</v>
      </c>
      <c r="E476" s="5">
        <v>4.0</v>
      </c>
      <c r="F476" s="6">
        <v>5753.64</v>
      </c>
      <c r="G476" s="2" t="s">
        <v>1502</v>
      </c>
      <c r="H476" s="2" t="s">
        <v>1503</v>
      </c>
      <c r="I476" s="2" t="s">
        <v>1504</v>
      </c>
    </row>
    <row r="477" ht="15.75" customHeight="1">
      <c r="A477" s="1">
        <v>45622.0</v>
      </c>
      <c r="B477" s="2" t="s">
        <v>9</v>
      </c>
      <c r="C477" s="2" t="s">
        <v>50</v>
      </c>
      <c r="D477" s="5">
        <v>2229.46</v>
      </c>
      <c r="E477" s="5">
        <v>3.0</v>
      </c>
      <c r="F477" s="6">
        <v>6688.38</v>
      </c>
      <c r="G477" s="2" t="s">
        <v>1505</v>
      </c>
      <c r="H477" s="2" t="s">
        <v>1506</v>
      </c>
      <c r="I477" s="2" t="s">
        <v>1507</v>
      </c>
    </row>
    <row r="478" ht="15.75" customHeight="1">
      <c r="A478" s="1">
        <v>45622.0</v>
      </c>
      <c r="B478" s="2" t="s">
        <v>35</v>
      </c>
      <c r="C478" s="2" t="s">
        <v>182</v>
      </c>
      <c r="D478" s="5">
        <v>324.09</v>
      </c>
      <c r="E478" s="5">
        <v>2.0</v>
      </c>
      <c r="F478" s="6">
        <v>648.18</v>
      </c>
      <c r="G478" s="2" t="s">
        <v>1508</v>
      </c>
      <c r="H478" s="2" t="s">
        <v>1509</v>
      </c>
      <c r="I478" s="2" t="s">
        <v>1510</v>
      </c>
    </row>
    <row r="479" ht="15.75" customHeight="1">
      <c r="A479" s="1">
        <v>45622.0</v>
      </c>
      <c r="B479" s="2" t="s">
        <v>75</v>
      </c>
      <c r="C479" s="2" t="s">
        <v>132</v>
      </c>
      <c r="D479" s="5">
        <v>664.21</v>
      </c>
      <c r="E479" s="5">
        <v>1.0</v>
      </c>
      <c r="F479" s="6">
        <v>664.21</v>
      </c>
      <c r="G479" s="2" t="s">
        <v>1511</v>
      </c>
      <c r="H479" s="2" t="s">
        <v>1512</v>
      </c>
      <c r="I479" s="2" t="s">
        <v>1513</v>
      </c>
    </row>
    <row r="480" ht="15.75" customHeight="1">
      <c r="A480" s="1">
        <v>45622.0</v>
      </c>
      <c r="B480" s="3" t="s">
        <v>30</v>
      </c>
      <c r="C480" s="2" t="s">
        <v>389</v>
      </c>
      <c r="D480" s="5">
        <v>412.36</v>
      </c>
      <c r="E480" s="5">
        <v>4.0</v>
      </c>
      <c r="F480" s="6">
        <v>1649.44</v>
      </c>
      <c r="G480" s="2" t="s">
        <v>1514</v>
      </c>
      <c r="H480" s="2" t="s">
        <v>1515</v>
      </c>
      <c r="I480" s="2" t="s">
        <v>1516</v>
      </c>
    </row>
    <row r="481" ht="15.75" customHeight="1">
      <c r="A481" s="1">
        <v>45622.0</v>
      </c>
      <c r="B481" s="2" t="s">
        <v>35</v>
      </c>
      <c r="C481" s="2" t="s">
        <v>190</v>
      </c>
      <c r="D481" s="5">
        <v>1247.08</v>
      </c>
      <c r="E481" s="5">
        <v>1.0</v>
      </c>
      <c r="F481" s="6">
        <v>1247.08</v>
      </c>
      <c r="G481" s="2" t="s">
        <v>1517</v>
      </c>
      <c r="H481" s="2" t="s">
        <v>1518</v>
      </c>
      <c r="I481" s="2" t="s">
        <v>1519</v>
      </c>
    </row>
    <row r="482" ht="15.75" customHeight="1">
      <c r="A482" s="1">
        <v>45622.0</v>
      </c>
      <c r="B482" s="2" t="s">
        <v>14</v>
      </c>
      <c r="C482" s="2" t="s">
        <v>292</v>
      </c>
      <c r="D482" s="5">
        <v>252.24</v>
      </c>
      <c r="E482" s="5">
        <v>5.0</v>
      </c>
      <c r="F482" s="6">
        <v>1261.2</v>
      </c>
      <c r="G482" s="2" t="s">
        <v>1520</v>
      </c>
      <c r="H482" s="2" t="s">
        <v>1521</v>
      </c>
      <c r="I482" s="2" t="s">
        <v>1522</v>
      </c>
    </row>
    <row r="483" ht="15.75" customHeight="1">
      <c r="A483" s="1">
        <v>45622.0</v>
      </c>
      <c r="B483" s="3" t="s">
        <v>30</v>
      </c>
      <c r="C483" s="2" t="s">
        <v>218</v>
      </c>
      <c r="D483" s="5">
        <v>1519.67</v>
      </c>
      <c r="E483" s="5">
        <v>4.0</v>
      </c>
      <c r="F483" s="6">
        <v>6078.68</v>
      </c>
      <c r="G483" s="2" t="s">
        <v>1523</v>
      </c>
      <c r="H483" s="2" t="s">
        <v>1524</v>
      </c>
      <c r="I483" s="2" t="s">
        <v>1525</v>
      </c>
    </row>
    <row r="484" ht="15.75" customHeight="1">
      <c r="A484" s="1">
        <v>45622.0</v>
      </c>
      <c r="B484" s="2" t="s">
        <v>14</v>
      </c>
      <c r="C484" s="2" t="s">
        <v>369</v>
      </c>
      <c r="D484" s="5">
        <v>488.25</v>
      </c>
      <c r="E484" s="5">
        <v>5.0</v>
      </c>
      <c r="F484" s="6">
        <v>2441.25</v>
      </c>
      <c r="G484" s="2" t="s">
        <v>1526</v>
      </c>
      <c r="H484" s="2" t="s">
        <v>1527</v>
      </c>
      <c r="I484" s="2" t="s">
        <v>1528</v>
      </c>
    </row>
    <row r="485" ht="15.75" customHeight="1">
      <c r="A485" s="1">
        <v>45622.0</v>
      </c>
      <c r="B485" s="2" t="s">
        <v>14</v>
      </c>
      <c r="C485" s="2" t="s">
        <v>85</v>
      </c>
      <c r="D485" s="5">
        <v>2210.34</v>
      </c>
      <c r="E485" s="5">
        <v>3.0</v>
      </c>
      <c r="F485" s="6">
        <v>6631.02</v>
      </c>
      <c r="G485" s="2" t="s">
        <v>1529</v>
      </c>
      <c r="H485" s="2" t="s">
        <v>1530</v>
      </c>
      <c r="I485" s="2" t="s">
        <v>1531</v>
      </c>
    </row>
    <row r="486" ht="15.75" customHeight="1">
      <c r="A486" s="1">
        <v>45622.0</v>
      </c>
      <c r="B486" s="3" t="s">
        <v>30</v>
      </c>
      <c r="C486" s="2" t="s">
        <v>54</v>
      </c>
      <c r="D486" s="5">
        <v>1892.73</v>
      </c>
      <c r="E486" s="5">
        <v>5.0</v>
      </c>
      <c r="F486" s="6">
        <v>9463.65</v>
      </c>
      <c r="G486" s="2" t="s">
        <v>1532</v>
      </c>
      <c r="H486" s="2" t="s">
        <v>1533</v>
      </c>
      <c r="I486" s="2" t="s">
        <v>1534</v>
      </c>
    </row>
    <row r="487" ht="15.75" customHeight="1">
      <c r="A487" s="1">
        <v>45623.0</v>
      </c>
      <c r="B487" s="2" t="s">
        <v>9</v>
      </c>
      <c r="C487" s="2" t="s">
        <v>399</v>
      </c>
      <c r="D487" s="5">
        <v>788.6</v>
      </c>
      <c r="E487" s="5">
        <v>4.0</v>
      </c>
      <c r="F487" s="6">
        <v>3154.4</v>
      </c>
      <c r="G487" s="2" t="s">
        <v>1535</v>
      </c>
      <c r="H487" s="2" t="s">
        <v>1536</v>
      </c>
      <c r="I487" s="2" t="s">
        <v>1537</v>
      </c>
    </row>
    <row r="488" ht="15.75" customHeight="1">
      <c r="A488" s="1">
        <v>45623.0</v>
      </c>
      <c r="B488" s="2" t="s">
        <v>35</v>
      </c>
      <c r="C488" s="2" t="s">
        <v>85</v>
      </c>
      <c r="D488" s="5">
        <v>1219.75</v>
      </c>
      <c r="E488" s="5">
        <v>2.0</v>
      </c>
      <c r="F488" s="6">
        <v>2439.5</v>
      </c>
      <c r="G488" s="2" t="s">
        <v>1538</v>
      </c>
      <c r="H488" s="2" t="s">
        <v>1539</v>
      </c>
      <c r="I488" s="2" t="s">
        <v>1540</v>
      </c>
    </row>
    <row r="489" ht="15.75" customHeight="1">
      <c r="A489" s="1">
        <v>45623.0</v>
      </c>
      <c r="B489" s="2" t="s">
        <v>9</v>
      </c>
      <c r="C489" s="2" t="s">
        <v>10</v>
      </c>
      <c r="D489" s="5">
        <v>2014.33</v>
      </c>
      <c r="E489" s="5">
        <v>4.0</v>
      </c>
      <c r="F489" s="6">
        <v>8057.32</v>
      </c>
      <c r="G489" s="2" t="s">
        <v>1541</v>
      </c>
      <c r="H489" s="2" t="s">
        <v>1542</v>
      </c>
      <c r="I489" s="2" t="s">
        <v>1543</v>
      </c>
    </row>
    <row r="490" ht="15.75" customHeight="1">
      <c r="A490" s="1">
        <v>45623.0</v>
      </c>
      <c r="B490" s="3" t="s">
        <v>30</v>
      </c>
      <c r="C490" s="2" t="s">
        <v>40</v>
      </c>
      <c r="D490" s="5">
        <v>1804.11</v>
      </c>
      <c r="E490" s="5">
        <v>4.0</v>
      </c>
      <c r="F490" s="6">
        <v>7216.44</v>
      </c>
      <c r="G490" s="2" t="s">
        <v>1544</v>
      </c>
      <c r="H490" s="2" t="s">
        <v>1545</v>
      </c>
      <c r="I490" s="2" t="s">
        <v>1546</v>
      </c>
    </row>
    <row r="491" ht="15.75" customHeight="1">
      <c r="A491" s="1">
        <v>45623.0</v>
      </c>
      <c r="B491" s="2" t="s">
        <v>14</v>
      </c>
      <c r="C491" s="2" t="s">
        <v>153</v>
      </c>
      <c r="D491" s="5">
        <v>764.41</v>
      </c>
      <c r="E491" s="5">
        <v>3.0</v>
      </c>
      <c r="F491" s="6">
        <v>2293.23</v>
      </c>
      <c r="G491" s="2" t="s">
        <v>1547</v>
      </c>
      <c r="H491" s="2" t="s">
        <v>1548</v>
      </c>
      <c r="I491" s="2" t="s">
        <v>1549</v>
      </c>
    </row>
    <row r="492" ht="15.75" customHeight="1">
      <c r="A492" s="1">
        <v>45623.0</v>
      </c>
      <c r="B492" s="2" t="s">
        <v>9</v>
      </c>
      <c r="C492" s="2" t="s">
        <v>15</v>
      </c>
      <c r="D492" s="5">
        <v>1713.18</v>
      </c>
      <c r="E492" s="5">
        <v>2.0</v>
      </c>
      <c r="F492" s="6">
        <v>3426.36</v>
      </c>
      <c r="G492" s="2" t="s">
        <v>1550</v>
      </c>
      <c r="H492" s="2" t="s">
        <v>1551</v>
      </c>
      <c r="I492" s="2" t="s">
        <v>1552</v>
      </c>
    </row>
    <row r="493" ht="15.75" customHeight="1">
      <c r="A493" s="1">
        <v>45623.0</v>
      </c>
      <c r="B493" s="3" t="s">
        <v>30</v>
      </c>
      <c r="C493" s="2" t="s">
        <v>67</v>
      </c>
      <c r="D493" s="5">
        <v>1160.86</v>
      </c>
      <c r="E493" s="5">
        <v>4.0</v>
      </c>
      <c r="F493" s="6">
        <v>4643.44</v>
      </c>
      <c r="G493" s="2" t="s">
        <v>1553</v>
      </c>
      <c r="H493" s="2" t="s">
        <v>1554</v>
      </c>
      <c r="I493" s="2" t="s">
        <v>1555</v>
      </c>
    </row>
    <row r="494" ht="15.75" customHeight="1">
      <c r="A494" s="1">
        <v>45623.0</v>
      </c>
      <c r="B494" s="2" t="s">
        <v>58</v>
      </c>
      <c r="C494" s="2" t="s">
        <v>186</v>
      </c>
      <c r="D494" s="5">
        <v>2160.65</v>
      </c>
      <c r="E494" s="5">
        <v>3.0</v>
      </c>
      <c r="F494" s="6">
        <v>6481.95</v>
      </c>
      <c r="G494" s="2" t="s">
        <v>1556</v>
      </c>
      <c r="H494" s="2" t="s">
        <v>1557</v>
      </c>
      <c r="I494" s="2" t="s">
        <v>1558</v>
      </c>
    </row>
    <row r="495" ht="15.75" customHeight="1">
      <c r="A495" s="1">
        <v>45624.0</v>
      </c>
      <c r="B495" s="2" t="s">
        <v>89</v>
      </c>
      <c r="C495" s="2" t="s">
        <v>292</v>
      </c>
      <c r="D495" s="5">
        <v>2297.62</v>
      </c>
      <c r="E495" s="5">
        <v>4.0</v>
      </c>
      <c r="F495" s="6">
        <v>9190.48</v>
      </c>
      <c r="G495" s="2" t="s">
        <v>1559</v>
      </c>
      <c r="H495" s="2" t="s">
        <v>1560</v>
      </c>
      <c r="I495" s="2" t="s">
        <v>1561</v>
      </c>
    </row>
    <row r="496" ht="15.75" customHeight="1">
      <c r="A496" s="1">
        <v>45624.0</v>
      </c>
      <c r="B496" s="2" t="s">
        <v>14</v>
      </c>
      <c r="C496" s="2" t="s">
        <v>23</v>
      </c>
      <c r="D496" s="5">
        <v>1795.59</v>
      </c>
      <c r="E496" s="5">
        <v>5.0</v>
      </c>
      <c r="F496" s="6">
        <v>8977.95</v>
      </c>
      <c r="G496" s="2" t="s">
        <v>1562</v>
      </c>
      <c r="H496" s="2" t="s">
        <v>1563</v>
      </c>
      <c r="I496" s="7" t="s">
        <v>1564</v>
      </c>
    </row>
    <row r="497" ht="15.75" customHeight="1">
      <c r="A497" s="1">
        <v>45624.0</v>
      </c>
      <c r="B497" s="3" t="s">
        <v>30</v>
      </c>
      <c r="C497" s="2" t="s">
        <v>259</v>
      </c>
      <c r="D497" s="5">
        <v>2087.73</v>
      </c>
      <c r="E497" s="5">
        <v>1.0</v>
      </c>
      <c r="F497" s="4"/>
      <c r="G497" s="2" t="s">
        <v>1565</v>
      </c>
      <c r="H497" s="2" t="s">
        <v>1566</v>
      </c>
      <c r="I497" s="2" t="s">
        <v>1567</v>
      </c>
    </row>
    <row r="498" ht="15.75" customHeight="1">
      <c r="A498" s="1">
        <v>45624.0</v>
      </c>
      <c r="B498" s="2" t="s">
        <v>9</v>
      </c>
      <c r="C498" s="2" t="s">
        <v>229</v>
      </c>
      <c r="D498" s="5">
        <v>1168.3</v>
      </c>
      <c r="E498" s="5">
        <v>3.0</v>
      </c>
      <c r="F498" s="6">
        <v>3504.9</v>
      </c>
      <c r="G498" s="2" t="s">
        <v>1568</v>
      </c>
      <c r="H498" s="2" t="s">
        <v>1569</v>
      </c>
      <c r="I498" s="2" t="s">
        <v>1570</v>
      </c>
    </row>
    <row r="499" ht="15.75" customHeight="1">
      <c r="A499" s="1">
        <v>45624.0</v>
      </c>
      <c r="B499" s="2" t="s">
        <v>9</v>
      </c>
      <c r="C499" s="2" t="s">
        <v>167</v>
      </c>
      <c r="D499" s="5">
        <v>1654.16</v>
      </c>
      <c r="E499" s="5">
        <v>1.0</v>
      </c>
      <c r="F499" s="6">
        <v>1654.16</v>
      </c>
      <c r="G499" s="2" t="s">
        <v>1571</v>
      </c>
      <c r="H499" s="2" t="s">
        <v>1572</v>
      </c>
      <c r="I499" s="2" t="s">
        <v>1573</v>
      </c>
    </row>
    <row r="500" ht="15.75" customHeight="1">
      <c r="A500" s="1">
        <v>45624.0</v>
      </c>
      <c r="B500" s="2" t="s">
        <v>9</v>
      </c>
      <c r="C500" s="2" t="s">
        <v>23</v>
      </c>
      <c r="D500" s="5">
        <v>563.92</v>
      </c>
      <c r="E500" s="5">
        <v>2.0</v>
      </c>
      <c r="F500" s="6">
        <v>1127.84</v>
      </c>
      <c r="G500" s="2" t="s">
        <v>1574</v>
      </c>
      <c r="H500" s="2" t="s">
        <v>1575</v>
      </c>
      <c r="I500" s="2" t="s">
        <v>1576</v>
      </c>
    </row>
    <row r="501" ht="15.75" customHeight="1">
      <c r="A501" s="1">
        <v>45624.0</v>
      </c>
      <c r="B501" s="2" t="s">
        <v>75</v>
      </c>
      <c r="C501" s="2" t="s">
        <v>132</v>
      </c>
      <c r="D501" s="5">
        <v>684.7</v>
      </c>
      <c r="E501" s="5">
        <v>5.0</v>
      </c>
      <c r="F501" s="6">
        <v>3423.5</v>
      </c>
      <c r="G501" s="2" t="s">
        <v>1577</v>
      </c>
      <c r="H501" s="2" t="s">
        <v>1578</v>
      </c>
      <c r="I501" s="2" t="s">
        <v>1579</v>
      </c>
    </row>
    <row r="502" ht="15.75" customHeight="1">
      <c r="A502" s="1">
        <v>45624.0</v>
      </c>
      <c r="B502" s="2" t="s">
        <v>58</v>
      </c>
      <c r="C502" s="2" t="s">
        <v>59</v>
      </c>
      <c r="D502" s="5">
        <v>1496.64</v>
      </c>
      <c r="E502" s="5">
        <v>2.0</v>
      </c>
      <c r="F502" s="6">
        <v>2993.28</v>
      </c>
      <c r="G502" s="2" t="s">
        <v>1580</v>
      </c>
      <c r="H502" s="2" t="s">
        <v>1581</v>
      </c>
      <c r="I502" s="2" t="s">
        <v>1582</v>
      </c>
    </row>
    <row r="503" ht="15.75" customHeight="1">
      <c r="A503" s="1">
        <v>45625.0</v>
      </c>
      <c r="B503" s="2" t="s">
        <v>58</v>
      </c>
      <c r="C503" s="2" t="s">
        <v>67</v>
      </c>
      <c r="D503" s="5">
        <v>337.5</v>
      </c>
      <c r="E503" s="5">
        <v>5.0</v>
      </c>
      <c r="F503" s="6">
        <v>1687.5</v>
      </c>
      <c r="G503" s="2" t="s">
        <v>1583</v>
      </c>
      <c r="H503" s="2" t="s">
        <v>1584</v>
      </c>
      <c r="I503" s="7" t="s">
        <v>1585</v>
      </c>
    </row>
    <row r="504" ht="15.75" customHeight="1">
      <c r="A504" s="1">
        <v>45625.0</v>
      </c>
      <c r="B504" s="2" t="s">
        <v>58</v>
      </c>
      <c r="C504" s="2" t="s">
        <v>319</v>
      </c>
      <c r="D504" s="5">
        <v>251.95</v>
      </c>
      <c r="E504" s="5">
        <v>5.0</v>
      </c>
      <c r="F504" s="6">
        <v>1259.75</v>
      </c>
      <c r="G504" s="2" t="s">
        <v>1586</v>
      </c>
      <c r="H504" s="2" t="s">
        <v>1587</v>
      </c>
      <c r="I504" s="2" t="s">
        <v>1588</v>
      </c>
    </row>
    <row r="505" ht="15.75" customHeight="1">
      <c r="A505" s="1">
        <v>45625.0</v>
      </c>
      <c r="B505" s="3" t="s">
        <v>30</v>
      </c>
      <c r="C505" s="2" t="s">
        <v>139</v>
      </c>
      <c r="D505" s="5">
        <v>568.57</v>
      </c>
      <c r="E505" s="5">
        <v>3.0</v>
      </c>
      <c r="F505" s="6">
        <v>1705.71</v>
      </c>
      <c r="G505" s="2" t="s">
        <v>1589</v>
      </c>
      <c r="H505" s="2" t="s">
        <v>1590</v>
      </c>
      <c r="I505" s="2" t="s">
        <v>1591</v>
      </c>
    </row>
    <row r="506" ht="15.75" customHeight="1">
      <c r="A506" s="1">
        <v>45625.0</v>
      </c>
      <c r="B506" s="2" t="s">
        <v>9</v>
      </c>
      <c r="C506" s="2" t="s">
        <v>1592</v>
      </c>
      <c r="D506" s="5">
        <v>1491.36</v>
      </c>
      <c r="E506" s="5">
        <v>2.0</v>
      </c>
      <c r="F506" s="6">
        <v>2982.72</v>
      </c>
      <c r="G506" s="2" t="s">
        <v>1593</v>
      </c>
      <c r="H506" s="2" t="s">
        <v>1594</v>
      </c>
      <c r="I506" s="2" t="s">
        <v>1595</v>
      </c>
    </row>
    <row r="507" ht="15.75" customHeight="1">
      <c r="A507" s="1">
        <v>45625.0</v>
      </c>
      <c r="B507" s="2" t="s">
        <v>75</v>
      </c>
      <c r="C507" s="2" t="s">
        <v>63</v>
      </c>
      <c r="D507" s="5">
        <v>1083.91</v>
      </c>
      <c r="E507" s="5">
        <v>3.0</v>
      </c>
      <c r="F507" s="6">
        <v>3251.73</v>
      </c>
      <c r="G507" s="2" t="s">
        <v>1596</v>
      </c>
      <c r="H507" s="2" t="s">
        <v>1597</v>
      </c>
      <c r="I507" s="2" t="s">
        <v>1598</v>
      </c>
    </row>
    <row r="508" ht="15.75" customHeight="1">
      <c r="A508" s="1">
        <v>45625.0</v>
      </c>
      <c r="B508" s="2" t="s">
        <v>9</v>
      </c>
      <c r="C508" s="2" t="s">
        <v>10</v>
      </c>
      <c r="D508" s="5">
        <v>2254.91</v>
      </c>
      <c r="E508" s="5">
        <v>4.0</v>
      </c>
      <c r="F508" s="6">
        <v>9019.64</v>
      </c>
      <c r="G508" s="2" t="s">
        <v>1599</v>
      </c>
      <c r="H508" s="2" t="s">
        <v>1600</v>
      </c>
      <c r="I508" s="2" t="s">
        <v>1601</v>
      </c>
    </row>
    <row r="509" ht="15.75" customHeight="1">
      <c r="A509" s="1">
        <v>45625.0</v>
      </c>
      <c r="B509" s="3" t="s">
        <v>30</v>
      </c>
      <c r="C509" s="2" t="s">
        <v>163</v>
      </c>
      <c r="D509" s="5">
        <v>1615.43</v>
      </c>
      <c r="E509" s="5">
        <v>5.0</v>
      </c>
      <c r="F509" s="6">
        <v>8077.15</v>
      </c>
      <c r="G509" s="2" t="s">
        <v>1602</v>
      </c>
      <c r="H509" s="2" t="s">
        <v>1603</v>
      </c>
      <c r="I509" s="2" t="s">
        <v>1604</v>
      </c>
    </row>
    <row r="510" ht="15.75" customHeight="1">
      <c r="A510" s="1">
        <v>45625.0</v>
      </c>
      <c r="B510" s="2" t="s">
        <v>75</v>
      </c>
      <c r="C510" s="2" t="s">
        <v>255</v>
      </c>
      <c r="D510" s="5">
        <v>411.02</v>
      </c>
      <c r="E510" s="5">
        <v>1.0</v>
      </c>
      <c r="F510" s="6">
        <v>411.02</v>
      </c>
      <c r="G510" s="2" t="s">
        <v>1605</v>
      </c>
      <c r="H510" s="2" t="s">
        <v>1606</v>
      </c>
      <c r="I510" s="2" t="s">
        <v>1607</v>
      </c>
    </row>
    <row r="511" ht="15.75" customHeight="1">
      <c r="A511" s="1">
        <v>45626.0</v>
      </c>
      <c r="B511" s="2" t="s">
        <v>58</v>
      </c>
      <c r="C511" s="2" t="s">
        <v>319</v>
      </c>
      <c r="D511" s="5">
        <v>1109.64</v>
      </c>
      <c r="E511" s="5">
        <v>3.0</v>
      </c>
      <c r="F511" s="4"/>
      <c r="G511" s="2" t="s">
        <v>1608</v>
      </c>
      <c r="H511" s="2" t="s">
        <v>1609</v>
      </c>
      <c r="I511" s="2" t="s">
        <v>1610</v>
      </c>
    </row>
    <row r="512" ht="15.75" customHeight="1">
      <c r="A512" s="1">
        <v>45626.0</v>
      </c>
      <c r="B512" s="2" t="s">
        <v>35</v>
      </c>
      <c r="C512" s="2" t="s">
        <v>81</v>
      </c>
      <c r="D512" s="5">
        <v>2256.04</v>
      </c>
      <c r="E512" s="5">
        <v>5.0</v>
      </c>
      <c r="F512" s="6">
        <v>11280.2</v>
      </c>
      <c r="G512" s="2" t="s">
        <v>1611</v>
      </c>
      <c r="H512" s="2" t="s">
        <v>1612</v>
      </c>
      <c r="I512" s="2" t="s">
        <v>1613</v>
      </c>
    </row>
    <row r="513" ht="15.75" customHeight="1">
      <c r="A513" s="1">
        <v>45626.0</v>
      </c>
      <c r="B513" s="3" t="s">
        <v>30</v>
      </c>
      <c r="C513" s="2" t="s">
        <v>90</v>
      </c>
      <c r="D513" s="5">
        <v>616.36</v>
      </c>
      <c r="E513" s="5">
        <v>4.0</v>
      </c>
      <c r="F513" s="6">
        <v>2465.44</v>
      </c>
      <c r="G513" s="2" t="s">
        <v>1614</v>
      </c>
      <c r="H513" s="2" t="s">
        <v>1615</v>
      </c>
      <c r="I513" s="2" t="s">
        <v>1616</v>
      </c>
    </row>
    <row r="514" ht="15.75" customHeight="1">
      <c r="A514" s="1">
        <v>45626.0</v>
      </c>
      <c r="B514" s="2" t="s">
        <v>9</v>
      </c>
      <c r="C514" s="2" t="s">
        <v>67</v>
      </c>
      <c r="D514" s="5">
        <v>206.29</v>
      </c>
      <c r="E514" s="5">
        <v>4.0</v>
      </c>
      <c r="F514" s="6">
        <v>825.16</v>
      </c>
      <c r="G514" s="2" t="s">
        <v>1617</v>
      </c>
      <c r="H514" s="2" t="s">
        <v>1618</v>
      </c>
      <c r="I514" s="2" t="s">
        <v>1619</v>
      </c>
    </row>
    <row r="515" ht="15.75" customHeight="1">
      <c r="A515" s="1">
        <v>45626.0</v>
      </c>
      <c r="B515" s="2" t="s">
        <v>35</v>
      </c>
      <c r="C515" s="2" t="s">
        <v>40</v>
      </c>
      <c r="D515" s="5">
        <v>890.66</v>
      </c>
      <c r="E515" s="5">
        <v>1.0</v>
      </c>
      <c r="F515" s="6">
        <v>890.66</v>
      </c>
      <c r="G515" s="2" t="s">
        <v>1620</v>
      </c>
      <c r="H515" s="2" t="s">
        <v>1621</v>
      </c>
      <c r="I515" s="2" t="s">
        <v>1622</v>
      </c>
    </row>
    <row r="516" ht="15.75" customHeight="1">
      <c r="A516" s="1">
        <v>45626.0</v>
      </c>
      <c r="B516" s="2" t="s">
        <v>75</v>
      </c>
      <c r="C516" s="2" t="s">
        <v>344</v>
      </c>
      <c r="D516" s="5">
        <v>1208.42</v>
      </c>
      <c r="E516" s="5">
        <v>3.0</v>
      </c>
      <c r="F516" s="6">
        <v>3625.26</v>
      </c>
      <c r="G516" s="2" t="s">
        <v>1623</v>
      </c>
      <c r="H516" s="2" t="s">
        <v>1624</v>
      </c>
      <c r="I516" s="2" t="s">
        <v>1625</v>
      </c>
    </row>
    <row r="517" ht="15.75" customHeight="1">
      <c r="A517" s="1">
        <v>45626.0</v>
      </c>
      <c r="B517" s="2" t="s">
        <v>9</v>
      </c>
      <c r="C517" s="2" t="s">
        <v>1626</v>
      </c>
      <c r="D517" s="5">
        <v>2148.99</v>
      </c>
      <c r="E517" s="5">
        <v>5.0</v>
      </c>
      <c r="F517" s="6">
        <v>10744.95</v>
      </c>
      <c r="G517" s="2" t="s">
        <v>1627</v>
      </c>
      <c r="H517" s="2" t="s">
        <v>1628</v>
      </c>
      <c r="I517" s="2" t="s">
        <v>1629</v>
      </c>
    </row>
    <row r="518" ht="15.75" customHeight="1">
      <c r="A518" s="1">
        <v>45626.0</v>
      </c>
      <c r="B518" s="2" t="s">
        <v>35</v>
      </c>
      <c r="C518" s="2" t="s">
        <v>229</v>
      </c>
      <c r="D518" s="5">
        <v>1560.05</v>
      </c>
      <c r="E518" s="5">
        <v>1.0</v>
      </c>
      <c r="F518" s="6">
        <v>1560.05</v>
      </c>
      <c r="G518" s="2" t="s">
        <v>1630</v>
      </c>
      <c r="H518" s="2" t="s">
        <v>1631</v>
      </c>
      <c r="I518" s="2" t="s">
        <v>1632</v>
      </c>
    </row>
    <row r="519" ht="15.75" customHeight="1">
      <c r="A519" s="1">
        <v>45627.0</v>
      </c>
      <c r="B519" s="2" t="s">
        <v>1633</v>
      </c>
      <c r="C519" s="2" t="s">
        <v>182</v>
      </c>
      <c r="D519" s="5">
        <v>1114.1</v>
      </c>
      <c r="E519" s="5">
        <v>3.0</v>
      </c>
      <c r="F519" s="6">
        <v>3342.3</v>
      </c>
      <c r="G519" s="2" t="s">
        <v>1634</v>
      </c>
      <c r="H519" s="2" t="s">
        <v>1635</v>
      </c>
      <c r="I519" s="2" t="s">
        <v>1636</v>
      </c>
    </row>
    <row r="520" ht="15.75" customHeight="1">
      <c r="A520" s="1">
        <v>45627.0</v>
      </c>
      <c r="B520" s="3" t="s">
        <v>30</v>
      </c>
      <c r="C520" s="2" t="s">
        <v>10</v>
      </c>
      <c r="D520" s="5">
        <v>2261.15</v>
      </c>
      <c r="E520" s="5">
        <v>1.0</v>
      </c>
      <c r="F520" s="6">
        <v>2261.15</v>
      </c>
      <c r="G520" s="2" t="s">
        <v>1637</v>
      </c>
      <c r="H520" s="2" t="s">
        <v>1638</v>
      </c>
      <c r="I520" s="2" t="s">
        <v>1639</v>
      </c>
    </row>
    <row r="521" ht="15.75" customHeight="1">
      <c r="A521" s="1">
        <v>45627.0</v>
      </c>
      <c r="B521" s="3" t="s">
        <v>30</v>
      </c>
      <c r="C521" s="2" t="s">
        <v>229</v>
      </c>
      <c r="D521" s="5">
        <v>157.89</v>
      </c>
      <c r="E521" s="5">
        <v>1.0</v>
      </c>
      <c r="F521" s="6">
        <v>157.89</v>
      </c>
      <c r="G521" s="2" t="s">
        <v>1640</v>
      </c>
      <c r="H521" s="2" t="s">
        <v>1641</v>
      </c>
      <c r="I521" s="2" t="s">
        <v>1642</v>
      </c>
    </row>
    <row r="522" ht="15.75" customHeight="1">
      <c r="A522" s="1">
        <v>45627.0</v>
      </c>
      <c r="B522" s="2" t="s">
        <v>14</v>
      </c>
      <c r="C522" s="2" t="s">
        <v>186</v>
      </c>
      <c r="D522" s="5">
        <v>2060.35</v>
      </c>
      <c r="E522" s="5">
        <v>3.0</v>
      </c>
      <c r="F522" s="6">
        <v>6181.05</v>
      </c>
      <c r="G522" s="2" t="s">
        <v>1643</v>
      </c>
      <c r="H522" s="2" t="s">
        <v>1644</v>
      </c>
      <c r="I522" s="2" t="s">
        <v>1645</v>
      </c>
    </row>
    <row r="523" ht="15.75" customHeight="1">
      <c r="A523" s="1">
        <v>45628.0</v>
      </c>
      <c r="B523" s="2" t="s">
        <v>116</v>
      </c>
      <c r="C523" s="2" t="s">
        <v>233</v>
      </c>
      <c r="D523" s="5">
        <v>218.94</v>
      </c>
      <c r="E523" s="5">
        <v>3.0</v>
      </c>
      <c r="F523" s="6">
        <v>656.82</v>
      </c>
      <c r="G523" s="2" t="s">
        <v>1646</v>
      </c>
      <c r="H523" s="2" t="s">
        <v>1647</v>
      </c>
      <c r="I523" s="2" t="s">
        <v>1648</v>
      </c>
    </row>
    <row r="524" ht="15.75" customHeight="1">
      <c r="A524" s="1">
        <v>45628.0</v>
      </c>
      <c r="B524" s="2" t="s">
        <v>14</v>
      </c>
      <c r="C524" s="2" t="s">
        <v>171</v>
      </c>
      <c r="D524" s="5">
        <v>78.53</v>
      </c>
      <c r="E524" s="5">
        <v>2.0</v>
      </c>
      <c r="F524" s="6">
        <v>157.06</v>
      </c>
      <c r="G524" s="2" t="s">
        <v>1649</v>
      </c>
      <c r="H524" s="2" t="s">
        <v>1650</v>
      </c>
      <c r="I524" s="2" t="s">
        <v>1651</v>
      </c>
    </row>
    <row r="525" ht="15.75" customHeight="1">
      <c r="A525" s="1">
        <v>45629.0</v>
      </c>
      <c r="B525" s="2" t="s">
        <v>35</v>
      </c>
      <c r="C525" s="2" t="s">
        <v>90</v>
      </c>
      <c r="D525" s="5">
        <v>2294.28</v>
      </c>
      <c r="E525" s="5">
        <v>1.0</v>
      </c>
      <c r="F525" s="6">
        <v>2294.28</v>
      </c>
      <c r="G525" s="2" t="s">
        <v>1652</v>
      </c>
      <c r="H525" s="2" t="s">
        <v>1653</v>
      </c>
      <c r="I525" s="2" t="s">
        <v>1654</v>
      </c>
    </row>
    <row r="526" ht="15.75" customHeight="1">
      <c r="A526" s="1">
        <v>45629.0</v>
      </c>
      <c r="B526" s="2" t="s">
        <v>116</v>
      </c>
      <c r="C526" s="2" t="s">
        <v>218</v>
      </c>
      <c r="D526" s="5">
        <v>90.89</v>
      </c>
      <c r="E526" s="5">
        <v>1.0</v>
      </c>
      <c r="F526" s="6">
        <v>90.89</v>
      </c>
      <c r="G526" s="2" t="s">
        <v>1655</v>
      </c>
      <c r="H526" s="2" t="s">
        <v>1656</v>
      </c>
      <c r="I526" s="2" t="s">
        <v>1657</v>
      </c>
    </row>
    <row r="527" ht="15.75" customHeight="1">
      <c r="A527" s="1">
        <v>45629.0</v>
      </c>
      <c r="B527" s="3" t="s">
        <v>30</v>
      </c>
      <c r="C527" s="2" t="s">
        <v>40</v>
      </c>
      <c r="D527" s="5">
        <v>1464.04</v>
      </c>
      <c r="E527" s="5">
        <v>4.0</v>
      </c>
      <c r="F527" s="6">
        <v>5856.16</v>
      </c>
      <c r="G527" s="2" t="s">
        <v>1658</v>
      </c>
      <c r="H527" s="2" t="s">
        <v>1659</v>
      </c>
      <c r="I527" s="2" t="s">
        <v>1660</v>
      </c>
    </row>
    <row r="528" ht="15.75" customHeight="1">
      <c r="A528" s="1">
        <v>45629.0</v>
      </c>
      <c r="B528" s="2" t="s">
        <v>75</v>
      </c>
      <c r="C528" s="2" t="s">
        <v>344</v>
      </c>
      <c r="D528" s="5">
        <v>690.26</v>
      </c>
      <c r="E528" s="5">
        <v>4.0</v>
      </c>
      <c r="F528" s="6">
        <v>2761.04</v>
      </c>
      <c r="G528" s="2" t="s">
        <v>1661</v>
      </c>
      <c r="H528" s="2" t="s">
        <v>1662</v>
      </c>
      <c r="I528" s="2" t="s">
        <v>1663</v>
      </c>
    </row>
    <row r="529" ht="15.75" customHeight="1">
      <c r="A529" s="1">
        <v>45630.0</v>
      </c>
      <c r="B529" s="2" t="s">
        <v>75</v>
      </c>
      <c r="C529" s="2" t="s">
        <v>282</v>
      </c>
      <c r="D529" s="5">
        <v>1902.94</v>
      </c>
      <c r="E529" s="5">
        <v>4.0</v>
      </c>
      <c r="F529" s="6">
        <v>7611.76</v>
      </c>
      <c r="G529" s="2" t="s">
        <v>1664</v>
      </c>
      <c r="H529" s="2" t="s">
        <v>1665</v>
      </c>
      <c r="I529" s="2" t="s">
        <v>1666</v>
      </c>
    </row>
    <row r="530" ht="15.75" customHeight="1">
      <c r="A530" s="1">
        <v>45630.0</v>
      </c>
      <c r="B530" s="2" t="s">
        <v>58</v>
      </c>
      <c r="C530" s="2" t="s">
        <v>369</v>
      </c>
      <c r="D530" s="5">
        <v>2281.58</v>
      </c>
      <c r="E530" s="5">
        <v>1.0</v>
      </c>
      <c r="F530" s="6">
        <v>2281.58</v>
      </c>
      <c r="G530" s="2" t="s">
        <v>1667</v>
      </c>
      <c r="H530" s="2" t="s">
        <v>1668</v>
      </c>
      <c r="I530" s="2" t="s">
        <v>1669</v>
      </c>
    </row>
    <row r="531" ht="15.75" customHeight="1">
      <c r="A531" s="1">
        <v>45630.0</v>
      </c>
      <c r="B531" s="2" t="s">
        <v>35</v>
      </c>
      <c r="C531" s="2" t="s">
        <v>167</v>
      </c>
      <c r="D531" s="5">
        <v>1019.3</v>
      </c>
      <c r="E531" s="5">
        <v>4.0</v>
      </c>
      <c r="F531" s="6">
        <v>4077.2</v>
      </c>
      <c r="G531" s="2" t="s">
        <v>1670</v>
      </c>
      <c r="H531" s="2" t="s">
        <v>1671</v>
      </c>
      <c r="I531" s="2" t="s">
        <v>1672</v>
      </c>
    </row>
    <row r="532" ht="15.75" customHeight="1">
      <c r="A532" s="1">
        <v>45630.0</v>
      </c>
      <c r="B532" s="2" t="s">
        <v>89</v>
      </c>
      <c r="C532" s="2" t="s">
        <v>292</v>
      </c>
      <c r="D532" s="5">
        <v>1113.91</v>
      </c>
      <c r="E532" s="5">
        <v>2.0</v>
      </c>
      <c r="F532" s="6">
        <v>2227.82</v>
      </c>
      <c r="G532" s="2" t="s">
        <v>1673</v>
      </c>
      <c r="H532" s="2" t="s">
        <v>1674</v>
      </c>
      <c r="I532" s="7" t="s">
        <v>1675</v>
      </c>
    </row>
    <row r="533" ht="15.75" customHeight="1">
      <c r="A533" s="1">
        <v>45631.0</v>
      </c>
      <c r="B533" s="2" t="s">
        <v>58</v>
      </c>
      <c r="C533" s="2" t="s">
        <v>76</v>
      </c>
      <c r="D533" s="5">
        <v>2246.48</v>
      </c>
      <c r="E533" s="5">
        <v>1.0</v>
      </c>
      <c r="F533" s="6">
        <v>2246.48</v>
      </c>
      <c r="G533" s="2" t="s">
        <v>1676</v>
      </c>
      <c r="H533" s="2" t="s">
        <v>1677</v>
      </c>
      <c r="I533" s="2" t="s">
        <v>1678</v>
      </c>
    </row>
    <row r="534" ht="15.75" customHeight="1">
      <c r="A534" s="1">
        <v>45631.0</v>
      </c>
      <c r="B534" s="3" t="s">
        <v>30</v>
      </c>
      <c r="C534" s="2" t="s">
        <v>182</v>
      </c>
      <c r="D534" s="5">
        <v>496.1</v>
      </c>
      <c r="E534" s="5">
        <v>3.0</v>
      </c>
      <c r="F534" s="6">
        <v>1488.3</v>
      </c>
      <c r="G534" s="2" t="s">
        <v>1679</v>
      </c>
      <c r="H534" s="2" t="s">
        <v>1680</v>
      </c>
      <c r="I534" s="2" t="s">
        <v>1681</v>
      </c>
    </row>
    <row r="535" ht="15.75" customHeight="1">
      <c r="A535" s="1">
        <v>45631.0</v>
      </c>
      <c r="B535" s="2" t="s">
        <v>9</v>
      </c>
      <c r="C535" s="2" t="s">
        <v>233</v>
      </c>
      <c r="D535" s="5">
        <v>1005.46</v>
      </c>
      <c r="E535" s="5">
        <v>5.0</v>
      </c>
      <c r="F535" s="6">
        <v>5027.3</v>
      </c>
      <c r="G535" s="2" t="s">
        <v>1682</v>
      </c>
      <c r="H535" s="2" t="s">
        <v>1683</v>
      </c>
      <c r="I535" s="2" t="s">
        <v>1684</v>
      </c>
    </row>
    <row r="536" ht="15.75" customHeight="1">
      <c r="A536" s="1">
        <v>45631.0</v>
      </c>
      <c r="B536" s="2" t="s">
        <v>58</v>
      </c>
      <c r="C536" s="2" t="s">
        <v>389</v>
      </c>
      <c r="D536" s="5">
        <v>379.11</v>
      </c>
      <c r="E536" s="5">
        <v>1.0</v>
      </c>
      <c r="F536" s="6">
        <v>379.11</v>
      </c>
      <c r="G536" s="2" t="s">
        <v>1685</v>
      </c>
      <c r="H536" s="2" t="s">
        <v>1686</v>
      </c>
      <c r="I536" s="2" t="s">
        <v>1687</v>
      </c>
    </row>
    <row r="537" ht="15.75" customHeight="1">
      <c r="A537" s="1">
        <v>45631.0</v>
      </c>
      <c r="B537" s="2" t="s">
        <v>75</v>
      </c>
      <c r="C537" s="2" t="s">
        <v>282</v>
      </c>
      <c r="D537" s="5">
        <v>1742.12</v>
      </c>
      <c r="E537" s="5">
        <v>4.0</v>
      </c>
      <c r="F537" s="6">
        <v>6968.48</v>
      </c>
      <c r="G537" s="2" t="s">
        <v>1688</v>
      </c>
      <c r="H537" s="2" t="s">
        <v>1689</v>
      </c>
      <c r="I537" s="2" t="s">
        <v>1690</v>
      </c>
    </row>
    <row r="538" ht="15.75" customHeight="1">
      <c r="A538" s="1">
        <v>45632.0</v>
      </c>
      <c r="B538" s="2" t="s">
        <v>35</v>
      </c>
      <c r="C538" s="2" t="s">
        <v>315</v>
      </c>
      <c r="D538" s="5">
        <v>1143.24</v>
      </c>
      <c r="E538" s="5">
        <v>2.0</v>
      </c>
      <c r="F538" s="6">
        <v>2286.48</v>
      </c>
      <c r="G538" s="2" t="s">
        <v>1691</v>
      </c>
      <c r="H538" s="2" t="s">
        <v>1692</v>
      </c>
      <c r="I538" s="2" t="s">
        <v>1693</v>
      </c>
    </row>
    <row r="539" ht="15.75" customHeight="1">
      <c r="A539" s="1">
        <v>45632.0</v>
      </c>
      <c r="B539" s="2" t="s">
        <v>9</v>
      </c>
      <c r="C539" s="2" t="s">
        <v>311</v>
      </c>
      <c r="D539" s="2"/>
      <c r="E539" s="5">
        <v>1.0</v>
      </c>
      <c r="F539" s="6">
        <v>1955.27</v>
      </c>
      <c r="G539" s="2" t="s">
        <v>1694</v>
      </c>
      <c r="H539" s="2" t="s">
        <v>1695</v>
      </c>
      <c r="I539" s="2" t="s">
        <v>1696</v>
      </c>
    </row>
    <row r="540" ht="15.75" customHeight="1">
      <c r="A540" s="1">
        <v>45632.0</v>
      </c>
      <c r="B540" s="2" t="s">
        <v>14</v>
      </c>
      <c r="C540" s="2" t="s">
        <v>369</v>
      </c>
      <c r="D540" s="5">
        <v>1440.56</v>
      </c>
      <c r="E540" s="5">
        <v>1.0</v>
      </c>
      <c r="F540" s="6">
        <v>1440.56</v>
      </c>
      <c r="G540" s="2" t="s">
        <v>1697</v>
      </c>
      <c r="H540" s="2" t="s">
        <v>1698</v>
      </c>
      <c r="I540" s="2" t="s">
        <v>1699</v>
      </c>
    </row>
    <row r="541" ht="15.75" customHeight="1">
      <c r="A541" s="1">
        <v>45633.0</v>
      </c>
      <c r="B541" s="2" t="s">
        <v>9</v>
      </c>
      <c r="C541" s="2" t="s">
        <v>399</v>
      </c>
      <c r="D541" s="5">
        <v>1636.89</v>
      </c>
      <c r="E541" s="5">
        <v>2.0</v>
      </c>
      <c r="F541" s="6">
        <v>3273.78</v>
      </c>
      <c r="G541" s="2" t="s">
        <v>1700</v>
      </c>
      <c r="H541" s="2" t="s">
        <v>1701</v>
      </c>
      <c r="I541" s="2" t="s">
        <v>1702</v>
      </c>
    </row>
    <row r="542" ht="15.75" customHeight="1">
      <c r="A542" s="1">
        <v>45633.0</v>
      </c>
      <c r="B542" s="2" t="s">
        <v>75</v>
      </c>
      <c r="C542" s="2" t="s">
        <v>163</v>
      </c>
      <c r="D542" s="5">
        <v>979.2</v>
      </c>
      <c r="E542" s="5">
        <v>5.0</v>
      </c>
      <c r="F542" s="6">
        <v>4896.0</v>
      </c>
      <c r="G542" s="2" t="s">
        <v>1703</v>
      </c>
      <c r="H542" s="2" t="s">
        <v>1704</v>
      </c>
      <c r="I542" s="2" t="s">
        <v>1705</v>
      </c>
    </row>
    <row r="543" ht="15.75" customHeight="1">
      <c r="A543" s="1">
        <v>45633.0</v>
      </c>
      <c r="B543" s="3" t="s">
        <v>30</v>
      </c>
      <c r="C543" s="2" t="s">
        <v>319</v>
      </c>
      <c r="D543" s="5">
        <v>1566.88</v>
      </c>
      <c r="E543" s="5">
        <v>3.0</v>
      </c>
      <c r="F543" s="6">
        <v>4700.64</v>
      </c>
      <c r="G543" s="2" t="s">
        <v>1706</v>
      </c>
      <c r="H543" s="2" t="s">
        <v>1707</v>
      </c>
      <c r="I543" s="2" t="s">
        <v>1708</v>
      </c>
    </row>
    <row r="544" ht="15.75" customHeight="1">
      <c r="A544" s="1">
        <v>45634.0</v>
      </c>
      <c r="B544" s="2" t="s">
        <v>9</v>
      </c>
      <c r="C544" s="2" t="s">
        <v>282</v>
      </c>
      <c r="D544" s="5">
        <v>1397.7</v>
      </c>
      <c r="E544" s="5">
        <v>3.0</v>
      </c>
      <c r="F544" s="6">
        <v>4193.1</v>
      </c>
      <c r="G544" s="2" t="s">
        <v>1709</v>
      </c>
      <c r="H544" s="2" t="s">
        <v>1710</v>
      </c>
      <c r="I544" s="2" t="s">
        <v>1711</v>
      </c>
    </row>
    <row r="545" ht="15.75" customHeight="1">
      <c r="A545" s="1">
        <v>45634.0</v>
      </c>
      <c r="B545" s="2" t="s">
        <v>9</v>
      </c>
      <c r="C545" s="2" t="s">
        <v>10</v>
      </c>
      <c r="D545" s="5">
        <v>155.7</v>
      </c>
      <c r="E545" s="5">
        <v>5.0</v>
      </c>
      <c r="F545" s="6">
        <v>778.5</v>
      </c>
      <c r="G545" s="2" t="s">
        <v>1712</v>
      </c>
      <c r="H545" s="2" t="s">
        <v>1713</v>
      </c>
      <c r="I545" s="2" t="s">
        <v>1714</v>
      </c>
    </row>
    <row r="546" ht="15.75" customHeight="1">
      <c r="A546" s="1">
        <v>45635.0</v>
      </c>
      <c r="B546" s="3" t="s">
        <v>30</v>
      </c>
      <c r="C546" s="2" t="s">
        <v>373</v>
      </c>
      <c r="D546" s="5">
        <v>166.45</v>
      </c>
      <c r="E546" s="5">
        <v>5.0</v>
      </c>
      <c r="F546" s="6">
        <v>832.25</v>
      </c>
      <c r="G546" s="2" t="s">
        <v>1715</v>
      </c>
      <c r="H546" s="2" t="s">
        <v>1716</v>
      </c>
      <c r="I546" s="2" t="s">
        <v>1717</v>
      </c>
    </row>
    <row r="547" ht="15.75" customHeight="1">
      <c r="A547" s="1">
        <v>45635.0</v>
      </c>
      <c r="B547" s="2" t="s">
        <v>35</v>
      </c>
      <c r="C547" s="2" t="s">
        <v>94</v>
      </c>
      <c r="D547" s="5">
        <v>1744.95</v>
      </c>
      <c r="E547" s="5">
        <v>2.0</v>
      </c>
      <c r="F547" s="6">
        <v>3489.9</v>
      </c>
      <c r="G547" s="2" t="s">
        <v>1718</v>
      </c>
      <c r="H547" s="2" t="s">
        <v>1719</v>
      </c>
      <c r="I547" s="2" t="s">
        <v>1720</v>
      </c>
    </row>
    <row r="548" ht="15.75" customHeight="1">
      <c r="A548" s="1">
        <v>45635.0</v>
      </c>
      <c r="B548" s="2" t="s">
        <v>58</v>
      </c>
      <c r="C548" s="2" t="s">
        <v>63</v>
      </c>
      <c r="D548" s="5">
        <v>1865.55</v>
      </c>
      <c r="E548" s="5">
        <v>2.0</v>
      </c>
      <c r="F548" s="6">
        <v>3731.1</v>
      </c>
      <c r="G548" s="2" t="s">
        <v>1721</v>
      </c>
      <c r="H548" s="2" t="s">
        <v>1722</v>
      </c>
      <c r="I548" s="2" t="s">
        <v>1723</v>
      </c>
    </row>
    <row r="549" ht="15.75" customHeight="1">
      <c r="A549" s="1">
        <v>45635.0</v>
      </c>
      <c r="B549" s="2" t="s">
        <v>58</v>
      </c>
      <c r="C549" s="2" t="s">
        <v>23</v>
      </c>
      <c r="D549" s="5">
        <v>787.78</v>
      </c>
      <c r="E549" s="5">
        <v>3.0</v>
      </c>
      <c r="F549" s="6">
        <v>2363.34</v>
      </c>
      <c r="G549" s="2" t="s">
        <v>1724</v>
      </c>
      <c r="H549" s="2" t="s">
        <v>1725</v>
      </c>
      <c r="I549" s="2" t="s">
        <v>1726</v>
      </c>
    </row>
    <row r="550" ht="15.75" customHeight="1">
      <c r="A550" s="1">
        <v>45636.0</v>
      </c>
      <c r="B550" s="3" t="s">
        <v>30</v>
      </c>
      <c r="C550" s="2" t="s">
        <v>132</v>
      </c>
      <c r="D550" s="5">
        <v>1001.63</v>
      </c>
      <c r="E550" s="5">
        <v>3.0</v>
      </c>
      <c r="F550" s="6">
        <v>3004.89</v>
      </c>
      <c r="G550" s="2" t="s">
        <v>1727</v>
      </c>
      <c r="H550" s="2" t="s">
        <v>1728</v>
      </c>
      <c r="I550" s="2" t="s">
        <v>1729</v>
      </c>
    </row>
    <row r="551" ht="15.75" customHeight="1">
      <c r="A551" s="1">
        <v>45636.0</v>
      </c>
      <c r="B551" s="2" t="s">
        <v>9</v>
      </c>
      <c r="C551" s="2" t="s">
        <v>163</v>
      </c>
      <c r="D551" s="5">
        <v>1708.81</v>
      </c>
      <c r="E551" s="5">
        <v>1.0</v>
      </c>
      <c r="F551" s="6">
        <v>1708.81</v>
      </c>
      <c r="G551" s="2" t="s">
        <v>1730</v>
      </c>
      <c r="H551" s="2" t="s">
        <v>1731</v>
      </c>
      <c r="I551" s="2" t="s">
        <v>1732</v>
      </c>
    </row>
    <row r="552" ht="15.75" customHeight="1">
      <c r="A552" s="1">
        <v>45636.0</v>
      </c>
      <c r="B552" s="2" t="s">
        <v>14</v>
      </c>
      <c r="C552" s="2" t="s">
        <v>282</v>
      </c>
      <c r="D552" s="5">
        <v>1402.2</v>
      </c>
      <c r="E552" s="5">
        <v>5.0</v>
      </c>
      <c r="F552" s="6">
        <v>7011.0</v>
      </c>
      <c r="G552" s="2" t="s">
        <v>1733</v>
      </c>
      <c r="H552" s="2" t="s">
        <v>1734</v>
      </c>
      <c r="I552" s="2" t="s">
        <v>1735</v>
      </c>
    </row>
    <row r="553" ht="15.75" customHeight="1">
      <c r="A553" s="1">
        <v>45636.0</v>
      </c>
      <c r="B553" s="2" t="s">
        <v>35</v>
      </c>
      <c r="C553" s="2" t="s">
        <v>54</v>
      </c>
      <c r="D553" s="5">
        <v>85.19</v>
      </c>
      <c r="E553" s="5">
        <v>1.0</v>
      </c>
      <c r="F553" s="6">
        <v>85.19</v>
      </c>
      <c r="G553" s="2" t="s">
        <v>1736</v>
      </c>
      <c r="H553" s="2" t="s">
        <v>1737</v>
      </c>
      <c r="I553" s="2" t="s">
        <v>1738</v>
      </c>
    </row>
    <row r="554" ht="15.75" customHeight="1">
      <c r="A554" s="1">
        <v>45636.0</v>
      </c>
      <c r="B554" s="2" t="s">
        <v>9</v>
      </c>
      <c r="C554" s="2" t="s">
        <v>399</v>
      </c>
      <c r="D554" s="5">
        <v>240.45</v>
      </c>
      <c r="E554" s="5">
        <v>4.0</v>
      </c>
      <c r="F554" s="6">
        <v>961.8</v>
      </c>
      <c r="G554" s="2" t="s">
        <v>1739</v>
      </c>
      <c r="H554" s="2" t="s">
        <v>1740</v>
      </c>
      <c r="I554" s="2" t="s">
        <v>1741</v>
      </c>
    </row>
    <row r="555" ht="15.75" customHeight="1">
      <c r="A555" s="1">
        <v>45636.0</v>
      </c>
      <c r="B555" s="2" t="s">
        <v>75</v>
      </c>
      <c r="C555" s="2" t="s">
        <v>315</v>
      </c>
      <c r="D555" s="5">
        <v>1284.54</v>
      </c>
      <c r="E555" s="5">
        <v>3.0</v>
      </c>
      <c r="F555" s="6">
        <v>3853.62</v>
      </c>
      <c r="G555" s="2" t="s">
        <v>1742</v>
      </c>
      <c r="H555" s="2" t="s">
        <v>1743</v>
      </c>
      <c r="I555" s="2" t="s">
        <v>1744</v>
      </c>
    </row>
    <row r="556" ht="15.75" customHeight="1">
      <c r="A556" s="1">
        <v>45636.0</v>
      </c>
      <c r="B556" s="2" t="s">
        <v>75</v>
      </c>
      <c r="C556" s="2" t="s">
        <v>292</v>
      </c>
      <c r="D556" s="5">
        <v>974.06</v>
      </c>
      <c r="E556" s="5">
        <v>5.0</v>
      </c>
      <c r="F556" s="6">
        <v>4870.3</v>
      </c>
      <c r="G556" s="2" t="s">
        <v>1745</v>
      </c>
      <c r="H556" s="2" t="s">
        <v>1746</v>
      </c>
      <c r="I556" s="2" t="s">
        <v>1747</v>
      </c>
    </row>
    <row r="557" ht="15.75" customHeight="1">
      <c r="A557" s="1">
        <v>45636.0</v>
      </c>
      <c r="B557" s="2" t="s">
        <v>58</v>
      </c>
      <c r="C557" s="2" t="s">
        <v>259</v>
      </c>
      <c r="D557" s="5">
        <v>1808.15</v>
      </c>
      <c r="E557" s="5">
        <v>2.0</v>
      </c>
      <c r="F557" s="6">
        <v>3616.3</v>
      </c>
      <c r="G557" s="2" t="s">
        <v>1748</v>
      </c>
      <c r="H557" s="2" t="s">
        <v>1749</v>
      </c>
      <c r="I557" s="2" t="s">
        <v>1750</v>
      </c>
    </row>
    <row r="558" ht="15.75" customHeight="1">
      <c r="A558" s="1">
        <v>45636.0</v>
      </c>
      <c r="B558" s="2" t="s">
        <v>58</v>
      </c>
      <c r="C558" s="2" t="s">
        <v>190</v>
      </c>
      <c r="D558" s="5">
        <v>1969.69</v>
      </c>
      <c r="E558" s="5">
        <v>4.0</v>
      </c>
      <c r="F558" s="6">
        <v>7878.76</v>
      </c>
      <c r="G558" s="2" t="s">
        <v>1751</v>
      </c>
      <c r="H558" s="2" t="s">
        <v>1752</v>
      </c>
      <c r="I558" s="7" t="s">
        <v>1753</v>
      </c>
    </row>
    <row r="559" ht="15.75" customHeight="1">
      <c r="A559" s="1">
        <v>45636.0</v>
      </c>
      <c r="B559" s="2" t="s">
        <v>35</v>
      </c>
      <c r="C559" s="2" t="s">
        <v>233</v>
      </c>
      <c r="D559" s="5">
        <v>2351.13</v>
      </c>
      <c r="E559" s="5">
        <v>1.0</v>
      </c>
      <c r="F559" s="6">
        <v>2351.13</v>
      </c>
      <c r="G559" s="2" t="s">
        <v>1754</v>
      </c>
      <c r="H559" s="2" t="s">
        <v>1755</v>
      </c>
      <c r="I559" s="2" t="s">
        <v>1756</v>
      </c>
    </row>
    <row r="560" ht="15.75" customHeight="1">
      <c r="A560" s="1">
        <v>45636.0</v>
      </c>
      <c r="B560" s="3" t="s">
        <v>30</v>
      </c>
      <c r="C560" s="2" t="s">
        <v>171</v>
      </c>
      <c r="D560" s="5">
        <v>173.92</v>
      </c>
      <c r="E560" s="5">
        <v>3.0</v>
      </c>
      <c r="F560" s="6">
        <v>521.76</v>
      </c>
      <c r="G560" s="2" t="s">
        <v>1757</v>
      </c>
      <c r="H560" s="2" t="s">
        <v>1758</v>
      </c>
      <c r="I560" s="2" t="s">
        <v>1759</v>
      </c>
    </row>
    <row r="561" ht="15.75" customHeight="1">
      <c r="A561" s="1">
        <v>45637.0</v>
      </c>
      <c r="B561" s="2" t="s">
        <v>14</v>
      </c>
      <c r="C561" s="2" t="s">
        <v>36</v>
      </c>
      <c r="D561" s="5">
        <v>817.03</v>
      </c>
      <c r="E561" s="5">
        <v>2.0</v>
      </c>
      <c r="F561" s="6">
        <v>1634.06</v>
      </c>
      <c r="G561" s="2" t="s">
        <v>1760</v>
      </c>
      <c r="H561" s="2" t="s">
        <v>1761</v>
      </c>
      <c r="I561" s="2" t="s">
        <v>1762</v>
      </c>
    </row>
    <row r="562" ht="15.75" customHeight="1">
      <c r="A562" s="1">
        <v>45637.0</v>
      </c>
      <c r="B562" s="2" t="s">
        <v>35</v>
      </c>
      <c r="C562" s="2" t="s">
        <v>76</v>
      </c>
      <c r="D562" s="5">
        <v>1332.48</v>
      </c>
      <c r="E562" s="5">
        <v>5.0</v>
      </c>
      <c r="F562" s="6">
        <v>6662.4</v>
      </c>
      <c r="G562" s="2" t="s">
        <v>1763</v>
      </c>
      <c r="H562" s="2" t="s">
        <v>1764</v>
      </c>
      <c r="I562" s="2" t="s">
        <v>1765</v>
      </c>
    </row>
    <row r="563" ht="15.75" customHeight="1">
      <c r="A563" s="1">
        <v>45637.0</v>
      </c>
      <c r="B563" s="2" t="s">
        <v>14</v>
      </c>
      <c r="C563" s="2" t="s">
        <v>282</v>
      </c>
      <c r="D563" s="5">
        <v>273.29</v>
      </c>
      <c r="E563" s="5">
        <v>5.0</v>
      </c>
      <c r="F563" s="6">
        <v>1366.45</v>
      </c>
      <c r="G563" s="2" t="s">
        <v>1766</v>
      </c>
      <c r="H563" s="2" t="s">
        <v>1767</v>
      </c>
      <c r="I563" s="2" t="s">
        <v>1768</v>
      </c>
    </row>
    <row r="564" ht="15.75" customHeight="1">
      <c r="A564" s="1">
        <v>45637.0</v>
      </c>
      <c r="B564" s="2" t="s">
        <v>9</v>
      </c>
      <c r="C564" s="2" t="s">
        <v>76</v>
      </c>
      <c r="D564" s="5">
        <v>782.8</v>
      </c>
      <c r="E564" s="5">
        <v>2.0</v>
      </c>
      <c r="F564" s="6">
        <v>1565.6</v>
      </c>
      <c r="G564" s="2" t="s">
        <v>1769</v>
      </c>
      <c r="H564" s="2" t="s">
        <v>1770</v>
      </c>
      <c r="I564" s="2" t="s">
        <v>1771</v>
      </c>
    </row>
    <row r="565" ht="15.75" customHeight="1">
      <c r="A565" s="1">
        <v>45637.0</v>
      </c>
      <c r="B565" s="2" t="s">
        <v>58</v>
      </c>
      <c r="C565" s="2" t="s">
        <v>369</v>
      </c>
      <c r="D565" s="5">
        <v>1198.31</v>
      </c>
      <c r="E565" s="5">
        <v>3.0</v>
      </c>
      <c r="F565" s="6">
        <v>3594.93</v>
      </c>
      <c r="G565" s="2" t="s">
        <v>1772</v>
      </c>
      <c r="H565" s="2" t="s">
        <v>1773</v>
      </c>
      <c r="I565" s="2" t="s">
        <v>1774</v>
      </c>
    </row>
    <row r="566" ht="15.75" customHeight="1">
      <c r="A566" s="1">
        <v>45637.0</v>
      </c>
      <c r="B566" s="2" t="s">
        <v>35</v>
      </c>
      <c r="C566" s="2" t="s">
        <v>90</v>
      </c>
      <c r="D566" s="5">
        <v>569.56</v>
      </c>
      <c r="E566" s="5">
        <v>4.0</v>
      </c>
      <c r="F566" s="6">
        <v>2278.24</v>
      </c>
      <c r="G566" s="2" t="s">
        <v>1775</v>
      </c>
      <c r="H566" s="2" t="s">
        <v>1776</v>
      </c>
      <c r="I566" s="2" t="s">
        <v>1777</v>
      </c>
    </row>
    <row r="567" ht="15.75" customHeight="1">
      <c r="A567" s="1">
        <v>45637.0</v>
      </c>
      <c r="B567" s="2" t="s">
        <v>14</v>
      </c>
      <c r="C567" s="2" t="s">
        <v>23</v>
      </c>
      <c r="D567" s="5">
        <v>1672.13</v>
      </c>
      <c r="E567" s="5">
        <v>4.0</v>
      </c>
      <c r="F567" s="6">
        <v>6688.52</v>
      </c>
      <c r="G567" s="2" t="s">
        <v>1778</v>
      </c>
      <c r="H567" s="2" t="s">
        <v>1779</v>
      </c>
      <c r="I567" s="2" t="s">
        <v>1780</v>
      </c>
    </row>
    <row r="568" ht="15.75" customHeight="1">
      <c r="A568" s="1">
        <v>45637.0</v>
      </c>
      <c r="B568" s="3" t="s">
        <v>30</v>
      </c>
      <c r="C568" s="2" t="s">
        <v>171</v>
      </c>
      <c r="D568" s="5">
        <v>1603.02</v>
      </c>
      <c r="E568" s="5">
        <v>4.0</v>
      </c>
      <c r="F568" s="6">
        <v>6412.08</v>
      </c>
      <c r="G568" s="2" t="s">
        <v>1781</v>
      </c>
      <c r="H568" s="2" t="s">
        <v>1782</v>
      </c>
      <c r="I568" s="2" t="s">
        <v>1783</v>
      </c>
    </row>
    <row r="569" ht="15.75" customHeight="1">
      <c r="A569" s="1">
        <v>45637.0</v>
      </c>
      <c r="B569" s="2" t="s">
        <v>75</v>
      </c>
      <c r="C569" s="2" t="s">
        <v>233</v>
      </c>
      <c r="D569" s="5">
        <v>1076.71</v>
      </c>
      <c r="E569" s="5">
        <v>3.0</v>
      </c>
      <c r="F569" s="6">
        <v>3230.13</v>
      </c>
      <c r="G569" s="2" t="s">
        <v>1784</v>
      </c>
      <c r="H569" s="2" t="s">
        <v>1785</v>
      </c>
      <c r="I569" s="2" t="s">
        <v>1786</v>
      </c>
    </row>
    <row r="570" ht="15.75" customHeight="1">
      <c r="A570" s="1">
        <v>45637.0</v>
      </c>
      <c r="B570" s="2" t="s">
        <v>58</v>
      </c>
      <c r="C570" s="2" t="s">
        <v>132</v>
      </c>
      <c r="D570" s="5">
        <v>1203.25</v>
      </c>
      <c r="E570" s="5">
        <v>4.0</v>
      </c>
      <c r="F570" s="6">
        <v>4813.0</v>
      </c>
      <c r="G570" s="2" t="s">
        <v>1787</v>
      </c>
      <c r="H570" s="2" t="s">
        <v>1788</v>
      </c>
      <c r="I570" s="2" t="s">
        <v>1789</v>
      </c>
    </row>
    <row r="571" ht="15.75" customHeight="1">
      <c r="A571" s="1">
        <v>45638.0</v>
      </c>
      <c r="B571" s="3" t="s">
        <v>30</v>
      </c>
      <c r="C571" s="2" t="s">
        <v>163</v>
      </c>
      <c r="D571" s="5">
        <v>1247.13</v>
      </c>
      <c r="E571" s="5">
        <v>5.0</v>
      </c>
      <c r="F571" s="6">
        <v>6235.65</v>
      </c>
      <c r="G571" s="2" t="s">
        <v>1790</v>
      </c>
      <c r="H571" s="2" t="s">
        <v>1791</v>
      </c>
      <c r="I571" s="2" t="s">
        <v>1792</v>
      </c>
    </row>
    <row r="572" ht="15.75" customHeight="1">
      <c r="A572" s="1">
        <v>45638.0</v>
      </c>
      <c r="B572" s="2" t="s">
        <v>9</v>
      </c>
      <c r="C572" s="2" t="s">
        <v>319</v>
      </c>
      <c r="D572" s="5">
        <v>153.47</v>
      </c>
      <c r="E572" s="5">
        <v>3.0</v>
      </c>
      <c r="F572" s="6">
        <v>460.41</v>
      </c>
      <c r="G572" s="2" t="s">
        <v>1793</v>
      </c>
      <c r="H572" s="2" t="s">
        <v>1794</v>
      </c>
      <c r="I572" s="2" t="s">
        <v>1795</v>
      </c>
    </row>
    <row r="573" ht="15.75" customHeight="1">
      <c r="A573" s="1">
        <v>45638.0</v>
      </c>
      <c r="B573" s="3" t="s">
        <v>30</v>
      </c>
      <c r="C573" s="2" t="s">
        <v>315</v>
      </c>
      <c r="D573" s="5">
        <v>834.63</v>
      </c>
      <c r="E573" s="5">
        <v>4.0</v>
      </c>
      <c r="F573" s="6">
        <v>3338.52</v>
      </c>
      <c r="G573" s="2" t="s">
        <v>1796</v>
      </c>
      <c r="H573" s="2" t="s">
        <v>1797</v>
      </c>
      <c r="I573" s="2" t="s">
        <v>1798</v>
      </c>
    </row>
    <row r="574" ht="15.75" customHeight="1">
      <c r="A574" s="1">
        <v>45638.0</v>
      </c>
      <c r="B574" s="2" t="s">
        <v>58</v>
      </c>
      <c r="C574" s="2" t="s">
        <v>59</v>
      </c>
      <c r="D574" s="5">
        <v>1268.59</v>
      </c>
      <c r="E574" s="5">
        <v>4.0</v>
      </c>
      <c r="F574" s="6">
        <v>5074.36</v>
      </c>
      <c r="G574" s="2" t="s">
        <v>1799</v>
      </c>
      <c r="H574" s="2" t="s">
        <v>1800</v>
      </c>
      <c r="I574" s="2" t="s">
        <v>1801</v>
      </c>
    </row>
    <row r="575" ht="15.75" customHeight="1">
      <c r="A575" s="1">
        <v>45638.0</v>
      </c>
      <c r="B575" s="2" t="s">
        <v>58</v>
      </c>
      <c r="C575" s="2" t="s">
        <v>117</v>
      </c>
      <c r="D575" s="5">
        <v>181.16</v>
      </c>
      <c r="E575" s="5">
        <v>4.0</v>
      </c>
      <c r="F575" s="6">
        <v>724.64</v>
      </c>
      <c r="G575" s="2" t="s">
        <v>1802</v>
      </c>
      <c r="H575" s="2" t="s">
        <v>1803</v>
      </c>
      <c r="I575" s="2" t="s">
        <v>1804</v>
      </c>
    </row>
    <row r="576" ht="15.75" customHeight="1">
      <c r="A576" s="1">
        <v>45639.0</v>
      </c>
      <c r="B576" s="2" t="s">
        <v>9</v>
      </c>
      <c r="C576" s="2" t="s">
        <v>81</v>
      </c>
      <c r="D576" s="5">
        <v>934.1</v>
      </c>
      <c r="E576" s="5">
        <v>2.0</v>
      </c>
      <c r="F576" s="6">
        <v>1868.2</v>
      </c>
      <c r="G576" s="2" t="s">
        <v>1805</v>
      </c>
      <c r="H576" s="2" t="s">
        <v>1806</v>
      </c>
      <c r="I576" s="2" t="s">
        <v>1807</v>
      </c>
    </row>
    <row r="577" ht="15.75" customHeight="1">
      <c r="A577" s="1">
        <v>45639.0</v>
      </c>
      <c r="B577" s="2" t="s">
        <v>1808</v>
      </c>
      <c r="C577" s="2" t="s">
        <v>430</v>
      </c>
      <c r="D577" s="5">
        <v>1566.36</v>
      </c>
      <c r="E577" s="5">
        <v>5.0</v>
      </c>
      <c r="F577" s="6">
        <v>7831.8</v>
      </c>
      <c r="G577" s="2" t="s">
        <v>1809</v>
      </c>
      <c r="H577" s="2" t="s">
        <v>1810</v>
      </c>
      <c r="I577" s="2" t="s">
        <v>1811</v>
      </c>
    </row>
    <row r="578" ht="15.75" customHeight="1">
      <c r="A578" s="1">
        <v>45639.0</v>
      </c>
      <c r="B578" s="2" t="s">
        <v>35</v>
      </c>
      <c r="C578" s="2" t="s">
        <v>163</v>
      </c>
      <c r="D578" s="5">
        <v>288.64</v>
      </c>
      <c r="E578" s="5">
        <v>1.0</v>
      </c>
      <c r="F578" s="6">
        <v>288.64</v>
      </c>
      <c r="G578" s="2" t="s">
        <v>1812</v>
      </c>
      <c r="H578" s="2" t="s">
        <v>1813</v>
      </c>
      <c r="I578" s="2" t="s">
        <v>1814</v>
      </c>
    </row>
    <row r="579" ht="15.75" customHeight="1">
      <c r="A579" s="1">
        <v>45639.0</v>
      </c>
      <c r="B579" s="2" t="s">
        <v>58</v>
      </c>
      <c r="C579" s="2" t="s">
        <v>255</v>
      </c>
      <c r="D579" s="5">
        <v>1164.16</v>
      </c>
      <c r="E579" s="5">
        <v>4.0</v>
      </c>
      <c r="F579" s="6">
        <v>4656.64</v>
      </c>
      <c r="G579" s="2" t="s">
        <v>1815</v>
      </c>
      <c r="H579" s="2" t="s">
        <v>1816</v>
      </c>
      <c r="I579" s="2" t="s">
        <v>1817</v>
      </c>
    </row>
    <row r="580" ht="15.75" customHeight="1">
      <c r="A580" s="1">
        <v>45639.0</v>
      </c>
      <c r="B580" s="2" t="s">
        <v>14</v>
      </c>
      <c r="C580" s="2" t="s">
        <v>292</v>
      </c>
      <c r="D580" s="5">
        <v>494.57</v>
      </c>
      <c r="E580" s="5">
        <v>1.0</v>
      </c>
      <c r="F580" s="6">
        <v>494.57</v>
      </c>
      <c r="G580" s="2" t="s">
        <v>1818</v>
      </c>
      <c r="H580" s="2" t="s">
        <v>1819</v>
      </c>
      <c r="I580" s="2" t="s">
        <v>1820</v>
      </c>
    </row>
    <row r="581" ht="15.75" customHeight="1">
      <c r="A581" s="1">
        <v>45639.0</v>
      </c>
      <c r="B581" s="2" t="s">
        <v>58</v>
      </c>
      <c r="C581" s="2" t="s">
        <v>90</v>
      </c>
      <c r="D581" s="5">
        <v>2145.76</v>
      </c>
      <c r="E581" s="5">
        <v>5.0</v>
      </c>
      <c r="F581" s="6">
        <v>10728.8</v>
      </c>
      <c r="G581" s="2" t="s">
        <v>1821</v>
      </c>
      <c r="H581" s="2" t="s">
        <v>1822</v>
      </c>
      <c r="I581" s="2" t="s">
        <v>1823</v>
      </c>
    </row>
    <row r="582" ht="15.75" customHeight="1">
      <c r="A582" s="1">
        <v>45640.0</v>
      </c>
      <c r="B582" s="2" t="s">
        <v>75</v>
      </c>
      <c r="C582" s="2" t="s">
        <v>399</v>
      </c>
      <c r="D582" s="5">
        <v>2116.69</v>
      </c>
      <c r="E582" s="5">
        <v>2.0</v>
      </c>
      <c r="F582" s="6">
        <v>4233.38</v>
      </c>
      <c r="G582" s="2" t="s">
        <v>1824</v>
      </c>
      <c r="H582" s="2" t="s">
        <v>1825</v>
      </c>
      <c r="I582" s="2" t="s">
        <v>1826</v>
      </c>
    </row>
    <row r="583" ht="15.75" customHeight="1">
      <c r="A583" s="1">
        <v>45640.0</v>
      </c>
      <c r="B583" s="2" t="s">
        <v>9</v>
      </c>
      <c r="C583" s="2" t="s">
        <v>186</v>
      </c>
      <c r="D583" s="5">
        <v>2312.52</v>
      </c>
      <c r="E583" s="5">
        <v>1.0</v>
      </c>
      <c r="F583" s="6">
        <v>2312.52</v>
      </c>
      <c r="G583" s="2" t="s">
        <v>1827</v>
      </c>
      <c r="H583" s="2" t="s">
        <v>1828</v>
      </c>
      <c r="I583" s="2" t="s">
        <v>1829</v>
      </c>
    </row>
    <row r="584" ht="15.75" customHeight="1">
      <c r="A584" s="1">
        <v>45640.0</v>
      </c>
      <c r="B584" s="2" t="s">
        <v>35</v>
      </c>
      <c r="C584" s="2" t="s">
        <v>153</v>
      </c>
      <c r="D584" s="5">
        <v>516.02</v>
      </c>
      <c r="E584" s="5">
        <v>4.0</v>
      </c>
      <c r="F584" s="6">
        <v>2064.08</v>
      </c>
      <c r="G584" s="2" t="s">
        <v>1830</v>
      </c>
      <c r="H584" s="2" t="s">
        <v>1831</v>
      </c>
      <c r="I584" s="2" t="s">
        <v>1832</v>
      </c>
    </row>
    <row r="585" ht="15.75" customHeight="1">
      <c r="A585" s="1">
        <v>45640.0</v>
      </c>
      <c r="B585" s="2" t="s">
        <v>14</v>
      </c>
      <c r="C585" s="2" t="s">
        <v>311</v>
      </c>
      <c r="D585" s="5">
        <v>177.74</v>
      </c>
      <c r="E585" s="5">
        <v>4.0</v>
      </c>
      <c r="F585" s="6">
        <v>710.96</v>
      </c>
      <c r="G585" s="2" t="s">
        <v>1833</v>
      </c>
      <c r="H585" s="2" t="s">
        <v>1834</v>
      </c>
      <c r="I585" s="2" t="s">
        <v>1835</v>
      </c>
    </row>
    <row r="586" ht="15.75" customHeight="1">
      <c r="A586" s="1">
        <v>45640.0</v>
      </c>
      <c r="B586" s="3" t="s">
        <v>30</v>
      </c>
      <c r="C586" s="2" t="s">
        <v>81</v>
      </c>
      <c r="D586" s="5">
        <v>2083.24</v>
      </c>
      <c r="E586" s="5">
        <v>1.0</v>
      </c>
      <c r="F586" s="6">
        <v>2083.24</v>
      </c>
      <c r="G586" s="2" t="s">
        <v>1836</v>
      </c>
      <c r="H586" s="2" t="s">
        <v>1837</v>
      </c>
      <c r="I586" s="2" t="s">
        <v>1838</v>
      </c>
    </row>
    <row r="587" ht="15.75" customHeight="1">
      <c r="A587" s="1">
        <v>45640.0</v>
      </c>
      <c r="B587" s="3" t="s">
        <v>30</v>
      </c>
      <c r="C587" s="2" t="s">
        <v>50</v>
      </c>
      <c r="D587" s="5">
        <v>818.61</v>
      </c>
      <c r="E587" s="5">
        <v>3.0</v>
      </c>
      <c r="F587" s="6">
        <v>2455.83</v>
      </c>
      <c r="G587" s="2" t="s">
        <v>1839</v>
      </c>
      <c r="H587" s="2" t="s">
        <v>1840</v>
      </c>
      <c r="I587" s="2" t="s">
        <v>1841</v>
      </c>
    </row>
    <row r="588" ht="15.75" customHeight="1">
      <c r="A588" s="1">
        <v>45640.0</v>
      </c>
      <c r="B588" s="2" t="s">
        <v>1842</v>
      </c>
      <c r="C588" s="2" t="s">
        <v>15</v>
      </c>
      <c r="D588" s="5">
        <v>2389.97</v>
      </c>
      <c r="E588" s="5">
        <v>3.0</v>
      </c>
      <c r="F588" s="6">
        <v>7169.91</v>
      </c>
      <c r="G588" s="2" t="s">
        <v>1843</v>
      </c>
      <c r="H588" s="2" t="s">
        <v>1844</v>
      </c>
      <c r="I588" s="2" t="s">
        <v>1845</v>
      </c>
    </row>
    <row r="589" ht="15.75" customHeight="1">
      <c r="A589" s="1">
        <v>45640.0</v>
      </c>
      <c r="B589" s="2" t="s">
        <v>58</v>
      </c>
      <c r="C589" s="2" t="s">
        <v>399</v>
      </c>
      <c r="D589" s="5">
        <v>997.09</v>
      </c>
      <c r="E589" s="5">
        <v>2.0</v>
      </c>
      <c r="F589" s="6">
        <v>1994.18</v>
      </c>
      <c r="G589" s="2" t="s">
        <v>1846</v>
      </c>
      <c r="H589" s="2" t="s">
        <v>1847</v>
      </c>
      <c r="I589" s="2" t="s">
        <v>1848</v>
      </c>
    </row>
    <row r="590" ht="15.75" customHeight="1">
      <c r="A590" s="1">
        <v>45640.0</v>
      </c>
      <c r="B590" s="3" t="s">
        <v>30</v>
      </c>
      <c r="C590" s="2" t="s">
        <v>233</v>
      </c>
      <c r="D590" s="5">
        <v>1939.56</v>
      </c>
      <c r="E590" s="5">
        <v>5.0</v>
      </c>
      <c r="F590" s="6">
        <v>9697.8</v>
      </c>
      <c r="G590" s="2" t="s">
        <v>1849</v>
      </c>
      <c r="H590" s="2" t="s">
        <v>1850</v>
      </c>
      <c r="I590" s="2" t="s">
        <v>1851</v>
      </c>
    </row>
    <row r="591" ht="15.75" customHeight="1">
      <c r="A591" s="1">
        <v>45641.0</v>
      </c>
      <c r="B591" s="2" t="s">
        <v>9</v>
      </c>
      <c r="C591" s="2" t="s">
        <v>94</v>
      </c>
      <c r="D591" s="5">
        <v>787.6</v>
      </c>
      <c r="E591" s="5">
        <v>1.0</v>
      </c>
      <c r="F591" s="6">
        <v>787.6</v>
      </c>
      <c r="G591" s="2" t="s">
        <v>1852</v>
      </c>
      <c r="H591" s="2" t="s">
        <v>1853</v>
      </c>
      <c r="I591" s="2" t="s">
        <v>1854</v>
      </c>
    </row>
    <row r="592" ht="15.75" customHeight="1">
      <c r="A592" s="1">
        <v>45641.0</v>
      </c>
      <c r="B592" s="2" t="s">
        <v>9</v>
      </c>
      <c r="C592" s="2" t="s">
        <v>117</v>
      </c>
      <c r="D592" s="5">
        <v>1710.52</v>
      </c>
      <c r="E592" s="5">
        <v>2.0</v>
      </c>
      <c r="F592" s="6">
        <v>3421.04</v>
      </c>
      <c r="G592" s="2" t="s">
        <v>1855</v>
      </c>
      <c r="H592" s="2" t="s">
        <v>1856</v>
      </c>
      <c r="I592" s="2" t="s">
        <v>1857</v>
      </c>
    </row>
    <row r="593" ht="15.75" customHeight="1">
      <c r="A593" s="1">
        <v>45641.0</v>
      </c>
      <c r="B593" s="2" t="s">
        <v>58</v>
      </c>
      <c r="C593" s="2" t="s">
        <v>344</v>
      </c>
      <c r="D593" s="5">
        <v>817.31</v>
      </c>
      <c r="E593" s="5">
        <v>2.0</v>
      </c>
      <c r="F593" s="6">
        <v>1634.62</v>
      </c>
      <c r="G593" s="2" t="s">
        <v>1858</v>
      </c>
      <c r="H593" s="2" t="s">
        <v>1859</v>
      </c>
      <c r="I593" s="2" t="s">
        <v>1860</v>
      </c>
    </row>
    <row r="594" ht="15.75" customHeight="1">
      <c r="A594" s="1">
        <v>45641.0</v>
      </c>
      <c r="B594" s="2" t="s">
        <v>14</v>
      </c>
      <c r="C594" s="2" t="s">
        <v>167</v>
      </c>
      <c r="D594" s="5">
        <v>101.1</v>
      </c>
      <c r="E594" s="5">
        <v>3.0</v>
      </c>
      <c r="F594" s="6">
        <v>303.3</v>
      </c>
      <c r="G594" s="2" t="s">
        <v>1861</v>
      </c>
      <c r="H594" s="2" t="s">
        <v>1862</v>
      </c>
      <c r="I594" s="2" t="s">
        <v>1863</v>
      </c>
    </row>
    <row r="595" ht="15.75" customHeight="1">
      <c r="A595" s="1">
        <v>45641.0</v>
      </c>
      <c r="B595" s="2" t="s">
        <v>9</v>
      </c>
      <c r="C595" s="2" t="s">
        <v>225</v>
      </c>
      <c r="D595" s="5">
        <v>303.05</v>
      </c>
      <c r="E595" s="5">
        <v>1.0</v>
      </c>
      <c r="F595" s="6">
        <v>303.05</v>
      </c>
      <c r="G595" s="2" t="s">
        <v>1864</v>
      </c>
      <c r="H595" s="2" t="s">
        <v>1865</v>
      </c>
      <c r="I595" s="2" t="s">
        <v>1866</v>
      </c>
    </row>
    <row r="596" ht="15.75" customHeight="1">
      <c r="A596" s="1">
        <v>45641.0</v>
      </c>
      <c r="B596" s="2" t="s">
        <v>75</v>
      </c>
      <c r="C596" s="2" t="s">
        <v>190</v>
      </c>
      <c r="D596" s="5">
        <v>806.78</v>
      </c>
      <c r="E596" s="5">
        <v>1.0</v>
      </c>
      <c r="F596" s="6">
        <v>806.78</v>
      </c>
      <c r="G596" s="2" t="s">
        <v>1867</v>
      </c>
      <c r="H596" s="2" t="s">
        <v>1868</v>
      </c>
      <c r="I596" s="2" t="s">
        <v>1869</v>
      </c>
    </row>
    <row r="597" ht="15.75" customHeight="1">
      <c r="A597" s="1">
        <v>45641.0</v>
      </c>
      <c r="B597" s="2" t="s">
        <v>58</v>
      </c>
      <c r="C597" s="2" t="s">
        <v>132</v>
      </c>
      <c r="D597" s="5">
        <v>741.53</v>
      </c>
      <c r="E597" s="5">
        <v>3.0</v>
      </c>
      <c r="F597" s="6">
        <v>2224.59</v>
      </c>
      <c r="G597" s="2" t="s">
        <v>1870</v>
      </c>
      <c r="H597" s="2" t="s">
        <v>1871</v>
      </c>
      <c r="I597" s="2" t="s">
        <v>1872</v>
      </c>
    </row>
    <row r="598" ht="15.75" customHeight="1">
      <c r="A598" s="1">
        <v>45641.0</v>
      </c>
      <c r="B598" s="3" t="s">
        <v>30</v>
      </c>
      <c r="C598" s="2" t="s">
        <v>31</v>
      </c>
      <c r="D598" s="5">
        <v>1423.68</v>
      </c>
      <c r="E598" s="5">
        <v>1.0</v>
      </c>
      <c r="F598" s="6">
        <v>1423.68</v>
      </c>
      <c r="G598" s="2" t="s">
        <v>1873</v>
      </c>
      <c r="H598" s="2" t="s">
        <v>1874</v>
      </c>
      <c r="I598" s="2" t="s">
        <v>1875</v>
      </c>
    </row>
    <row r="599" ht="15.75" customHeight="1">
      <c r="A599" s="1">
        <v>45642.0</v>
      </c>
      <c r="B599" s="2" t="s">
        <v>9</v>
      </c>
      <c r="C599" s="2" t="s">
        <v>218</v>
      </c>
      <c r="D599" s="5">
        <v>658.01</v>
      </c>
      <c r="E599" s="5">
        <v>5.0</v>
      </c>
      <c r="F599" s="6">
        <v>3290.05</v>
      </c>
      <c r="G599" s="2" t="s">
        <v>1876</v>
      </c>
      <c r="H599" s="2" t="s">
        <v>1877</v>
      </c>
      <c r="I599" s="2" t="s">
        <v>1878</v>
      </c>
    </row>
    <row r="600" ht="15.75" customHeight="1">
      <c r="A600" s="1">
        <v>45642.0</v>
      </c>
      <c r="B600" s="2" t="s">
        <v>35</v>
      </c>
      <c r="C600" s="2" t="s">
        <v>153</v>
      </c>
      <c r="D600" s="5">
        <v>421.27</v>
      </c>
      <c r="E600" s="5">
        <v>4.0</v>
      </c>
      <c r="F600" s="6">
        <v>1685.08</v>
      </c>
      <c r="G600" s="2" t="s">
        <v>1879</v>
      </c>
      <c r="H600" s="2" t="s">
        <v>1880</v>
      </c>
      <c r="I600" s="2" t="s">
        <v>1881</v>
      </c>
    </row>
    <row r="601" ht="15.75" customHeight="1">
      <c r="A601" s="1">
        <v>45642.0</v>
      </c>
      <c r="B601" s="2" t="s">
        <v>75</v>
      </c>
      <c r="C601" s="2" t="s">
        <v>292</v>
      </c>
      <c r="D601" s="5">
        <v>814.63</v>
      </c>
      <c r="E601" s="5">
        <v>1.0</v>
      </c>
      <c r="F601" s="6">
        <v>814.63</v>
      </c>
      <c r="G601" s="2" t="s">
        <v>1882</v>
      </c>
      <c r="H601" s="2" t="s">
        <v>1883</v>
      </c>
      <c r="I601" s="2" t="s">
        <v>1884</v>
      </c>
    </row>
    <row r="602" ht="15.75" customHeight="1">
      <c r="A602" s="1">
        <v>45642.0</v>
      </c>
      <c r="B602" s="2" t="s">
        <v>35</v>
      </c>
      <c r="C602" s="2" t="s">
        <v>292</v>
      </c>
      <c r="D602" s="5">
        <v>205.57</v>
      </c>
      <c r="E602" s="5">
        <v>5.0</v>
      </c>
      <c r="F602" s="6">
        <v>1027.85</v>
      </c>
      <c r="G602" s="2" t="s">
        <v>1885</v>
      </c>
      <c r="H602" s="2" t="s">
        <v>1886</v>
      </c>
      <c r="I602" s="2" t="s">
        <v>1887</v>
      </c>
    </row>
    <row r="603" ht="15.75" customHeight="1">
      <c r="A603" s="1">
        <v>45642.0</v>
      </c>
      <c r="B603" s="2" t="s">
        <v>35</v>
      </c>
      <c r="C603" s="2" t="s">
        <v>218</v>
      </c>
      <c r="D603" s="5">
        <v>785.82</v>
      </c>
      <c r="E603" s="5">
        <v>2.0</v>
      </c>
      <c r="F603" s="6">
        <v>1571.64</v>
      </c>
      <c r="G603" s="2" t="s">
        <v>1888</v>
      </c>
      <c r="H603" s="2" t="s">
        <v>1889</v>
      </c>
      <c r="I603" s="2" t="s">
        <v>1890</v>
      </c>
    </row>
    <row r="604" ht="15.75" customHeight="1">
      <c r="A604" s="1">
        <v>45642.0</v>
      </c>
      <c r="B604" s="3" t="s">
        <v>473</v>
      </c>
      <c r="C604" s="2" t="s">
        <v>255</v>
      </c>
      <c r="D604" s="5">
        <v>1220.85</v>
      </c>
      <c r="E604" s="5">
        <v>1.0</v>
      </c>
      <c r="F604" s="6">
        <v>1220.85</v>
      </c>
      <c r="G604" s="2" t="s">
        <v>1891</v>
      </c>
      <c r="H604" s="2" t="s">
        <v>1892</v>
      </c>
      <c r="I604" s="2" t="s">
        <v>1893</v>
      </c>
    </row>
    <row r="605" ht="15.75" customHeight="1">
      <c r="A605" s="1">
        <v>45642.0</v>
      </c>
      <c r="B605" s="2" t="s">
        <v>58</v>
      </c>
      <c r="C605" s="2" t="s">
        <v>63</v>
      </c>
      <c r="D605" s="5">
        <v>2281.01</v>
      </c>
      <c r="E605" s="5">
        <v>4.0</v>
      </c>
      <c r="F605" s="6">
        <v>9124.04</v>
      </c>
      <c r="G605" s="2" t="s">
        <v>1894</v>
      </c>
      <c r="H605" s="2" t="s">
        <v>1895</v>
      </c>
      <c r="I605" s="2" t="s">
        <v>1896</v>
      </c>
    </row>
    <row r="606" ht="15.75" customHeight="1">
      <c r="A606" s="1">
        <v>45642.0</v>
      </c>
      <c r="B606" s="2" t="s">
        <v>14</v>
      </c>
      <c r="C606" s="2" t="s">
        <v>255</v>
      </c>
      <c r="D606" s="5">
        <v>763.21</v>
      </c>
      <c r="E606" s="5">
        <v>5.0</v>
      </c>
      <c r="F606" s="6">
        <v>3816.05</v>
      </c>
      <c r="G606" s="2" t="s">
        <v>1897</v>
      </c>
      <c r="H606" s="2" t="s">
        <v>1898</v>
      </c>
      <c r="I606" s="2" t="s">
        <v>1899</v>
      </c>
    </row>
    <row r="607" ht="15.75" customHeight="1">
      <c r="A607" s="1">
        <v>45642.0</v>
      </c>
      <c r="B607" s="2" t="s">
        <v>75</v>
      </c>
      <c r="C607" s="2" t="s">
        <v>399</v>
      </c>
      <c r="D607" s="5">
        <v>1711.88</v>
      </c>
      <c r="E607" s="5">
        <v>2.0</v>
      </c>
      <c r="F607" s="6">
        <v>3423.76</v>
      </c>
      <c r="G607" s="2" t="s">
        <v>1900</v>
      </c>
      <c r="H607" s="2" t="s">
        <v>1901</v>
      </c>
      <c r="I607" s="2" t="s">
        <v>1902</v>
      </c>
    </row>
    <row r="608" ht="15.75" customHeight="1">
      <c r="A608" s="1">
        <v>45642.0</v>
      </c>
      <c r="B608" s="2" t="s">
        <v>35</v>
      </c>
      <c r="C608" s="2" t="s">
        <v>139</v>
      </c>
      <c r="D608" s="5">
        <v>1252.47</v>
      </c>
      <c r="E608" s="5">
        <v>5.0</v>
      </c>
      <c r="F608" s="6">
        <v>6262.35</v>
      </c>
      <c r="G608" s="2" t="s">
        <v>1903</v>
      </c>
      <c r="H608" s="2" t="s">
        <v>1904</v>
      </c>
      <c r="I608" s="2" t="s">
        <v>1905</v>
      </c>
    </row>
    <row r="609" ht="15.75" customHeight="1">
      <c r="A609" s="1">
        <v>45642.0</v>
      </c>
      <c r="B609" s="2" t="s">
        <v>35</v>
      </c>
      <c r="C609" s="2" t="s">
        <v>282</v>
      </c>
      <c r="D609" s="5">
        <v>1119.17</v>
      </c>
      <c r="E609" s="5">
        <v>5.0</v>
      </c>
      <c r="F609" s="6">
        <v>5595.85</v>
      </c>
      <c r="G609" s="2" t="s">
        <v>1906</v>
      </c>
      <c r="H609" s="2" t="s">
        <v>1907</v>
      </c>
      <c r="I609" s="2" t="s">
        <v>1908</v>
      </c>
    </row>
    <row r="610" ht="15.75" customHeight="1">
      <c r="A610" s="1">
        <v>45642.0</v>
      </c>
      <c r="B610" s="2" t="s">
        <v>9</v>
      </c>
      <c r="C610" s="2" t="s">
        <v>90</v>
      </c>
      <c r="D610" s="5">
        <v>842.36</v>
      </c>
      <c r="E610" s="5">
        <v>5.0</v>
      </c>
      <c r="F610" s="6">
        <v>4211.8</v>
      </c>
      <c r="G610" s="2" t="s">
        <v>1909</v>
      </c>
      <c r="H610" s="2" t="s">
        <v>1910</v>
      </c>
      <c r="I610" s="2" t="s">
        <v>1911</v>
      </c>
    </row>
    <row r="611" ht="15.75" customHeight="1">
      <c r="A611" s="1">
        <v>45643.0</v>
      </c>
      <c r="B611" s="2" t="s">
        <v>75</v>
      </c>
      <c r="C611" s="2" t="s">
        <v>666</v>
      </c>
      <c r="D611" s="5">
        <v>1771.25</v>
      </c>
      <c r="E611" s="5">
        <v>4.0</v>
      </c>
      <c r="F611" s="6">
        <v>7085.0</v>
      </c>
      <c r="G611" s="2" t="s">
        <v>1912</v>
      </c>
      <c r="H611" s="2" t="s">
        <v>1913</v>
      </c>
      <c r="I611" s="2" t="s">
        <v>1914</v>
      </c>
    </row>
    <row r="612" ht="15.75" customHeight="1">
      <c r="A612" s="1">
        <v>45643.0</v>
      </c>
      <c r="B612" s="2" t="s">
        <v>75</v>
      </c>
      <c r="C612" s="2" t="s">
        <v>94</v>
      </c>
      <c r="D612" s="5">
        <v>1865.58</v>
      </c>
      <c r="E612" s="5">
        <v>2.0</v>
      </c>
      <c r="F612" s="6">
        <v>3731.16</v>
      </c>
      <c r="G612" s="2" t="s">
        <v>1915</v>
      </c>
      <c r="H612" s="2" t="s">
        <v>1916</v>
      </c>
      <c r="I612" s="2" t="s">
        <v>1917</v>
      </c>
    </row>
    <row r="613" ht="15.75" customHeight="1">
      <c r="A613" s="1">
        <v>45643.0</v>
      </c>
      <c r="B613" s="2" t="s">
        <v>14</v>
      </c>
      <c r="C613" s="2" t="s">
        <v>163</v>
      </c>
      <c r="D613" s="5">
        <v>1615.07</v>
      </c>
      <c r="E613" s="5">
        <v>3.0</v>
      </c>
      <c r="F613" s="6">
        <v>4845.21</v>
      </c>
      <c r="G613" s="2" t="s">
        <v>1918</v>
      </c>
      <c r="H613" s="2" t="s">
        <v>1919</v>
      </c>
      <c r="I613" s="2" t="s">
        <v>1920</v>
      </c>
    </row>
    <row r="614" ht="15.75" customHeight="1">
      <c r="A614" s="1">
        <v>45643.0</v>
      </c>
      <c r="B614" s="2" t="s">
        <v>75</v>
      </c>
      <c r="C614" s="2" t="s">
        <v>389</v>
      </c>
      <c r="D614" s="5">
        <v>1627.59</v>
      </c>
      <c r="E614" s="5">
        <v>1.0</v>
      </c>
      <c r="F614" s="6">
        <v>1627.59</v>
      </c>
      <c r="G614" s="2" t="s">
        <v>1921</v>
      </c>
      <c r="H614" s="2" t="s">
        <v>1922</v>
      </c>
      <c r="I614" s="2" t="s">
        <v>1923</v>
      </c>
    </row>
    <row r="615" ht="15.75" customHeight="1">
      <c r="A615" s="1">
        <v>45643.0</v>
      </c>
      <c r="B615" s="2" t="s">
        <v>75</v>
      </c>
      <c r="C615" s="2" t="s">
        <v>430</v>
      </c>
      <c r="D615" s="5">
        <v>1700.41</v>
      </c>
      <c r="E615" s="5">
        <v>4.0</v>
      </c>
      <c r="F615" s="6">
        <v>6801.64</v>
      </c>
      <c r="G615" s="2" t="s">
        <v>1924</v>
      </c>
      <c r="H615" s="2" t="s">
        <v>1925</v>
      </c>
      <c r="I615" s="2" t="s">
        <v>1926</v>
      </c>
    </row>
    <row r="616" ht="15.75" customHeight="1">
      <c r="A616" s="1">
        <v>45643.0</v>
      </c>
      <c r="B616" s="3" t="s">
        <v>30</v>
      </c>
      <c r="C616" s="2" t="s">
        <v>153</v>
      </c>
      <c r="D616" s="5">
        <v>1035.07</v>
      </c>
      <c r="E616" s="5">
        <v>1.0</v>
      </c>
      <c r="F616" s="6">
        <v>1035.07</v>
      </c>
      <c r="G616" s="2" t="s">
        <v>1927</v>
      </c>
      <c r="H616" s="2" t="s">
        <v>1928</v>
      </c>
      <c r="I616" s="2" t="s">
        <v>1929</v>
      </c>
    </row>
    <row r="617" ht="15.75" customHeight="1">
      <c r="A617" s="1">
        <v>45643.0</v>
      </c>
      <c r="B617" s="2" t="s">
        <v>75</v>
      </c>
      <c r="C617" s="2" t="s">
        <v>399</v>
      </c>
      <c r="D617" s="5">
        <v>771.57</v>
      </c>
      <c r="E617" s="5">
        <v>5.0</v>
      </c>
      <c r="F617" s="6">
        <v>3857.85</v>
      </c>
      <c r="G617" s="2" t="s">
        <v>1930</v>
      </c>
      <c r="H617" s="2" t="s">
        <v>1931</v>
      </c>
      <c r="I617" s="2" t="s">
        <v>1932</v>
      </c>
    </row>
    <row r="618" ht="15.75" customHeight="1">
      <c r="A618" s="1">
        <v>45643.0</v>
      </c>
      <c r="B618" s="2" t="s">
        <v>14</v>
      </c>
      <c r="C618" s="2" t="s">
        <v>311</v>
      </c>
      <c r="D618" s="5">
        <v>1698.28</v>
      </c>
      <c r="E618" s="5">
        <v>3.0</v>
      </c>
      <c r="F618" s="6">
        <v>5094.84</v>
      </c>
      <c r="G618" s="2" t="s">
        <v>1933</v>
      </c>
      <c r="H618" s="2" t="s">
        <v>1934</v>
      </c>
      <c r="I618" s="2" t="s">
        <v>1935</v>
      </c>
    </row>
    <row r="619" ht="15.75" customHeight="1">
      <c r="A619" s="1">
        <v>45644.0</v>
      </c>
      <c r="B619" s="2" t="s">
        <v>14</v>
      </c>
      <c r="C619" s="2" t="s">
        <v>190</v>
      </c>
      <c r="D619" s="5">
        <v>602.68</v>
      </c>
      <c r="E619" s="5">
        <v>3.0</v>
      </c>
      <c r="F619" s="6">
        <v>1808.04</v>
      </c>
      <c r="G619" s="2" t="s">
        <v>1936</v>
      </c>
      <c r="H619" s="2" t="s">
        <v>1937</v>
      </c>
      <c r="I619" s="2" t="s">
        <v>1938</v>
      </c>
    </row>
    <row r="620" ht="15.75" customHeight="1">
      <c r="A620" s="1">
        <v>45644.0</v>
      </c>
      <c r="B620" s="2" t="s">
        <v>35</v>
      </c>
      <c r="C620" s="2" t="s">
        <v>225</v>
      </c>
      <c r="D620" s="5">
        <v>1096.28</v>
      </c>
      <c r="E620" s="5">
        <v>3.0</v>
      </c>
      <c r="F620" s="6">
        <v>3288.84</v>
      </c>
      <c r="G620" s="2" t="s">
        <v>1939</v>
      </c>
      <c r="H620" s="2" t="s">
        <v>1940</v>
      </c>
      <c r="I620" s="2" t="s">
        <v>1941</v>
      </c>
    </row>
    <row r="621" ht="15.75" customHeight="1">
      <c r="A621" s="1">
        <v>45644.0</v>
      </c>
      <c r="B621" s="2" t="s">
        <v>9</v>
      </c>
      <c r="C621" s="2" t="s">
        <v>190</v>
      </c>
      <c r="D621" s="5">
        <v>2030.62</v>
      </c>
      <c r="E621" s="5">
        <v>2.0</v>
      </c>
      <c r="F621" s="6">
        <v>4061.24</v>
      </c>
      <c r="G621" s="2" t="s">
        <v>1942</v>
      </c>
      <c r="H621" s="2" t="s">
        <v>1943</v>
      </c>
      <c r="I621" s="2" t="s">
        <v>1944</v>
      </c>
    </row>
    <row r="622" ht="15.75" customHeight="1">
      <c r="A622" s="1">
        <v>45644.0</v>
      </c>
      <c r="B622" s="2" t="s">
        <v>9</v>
      </c>
      <c r="C622" s="2" t="s">
        <v>292</v>
      </c>
      <c r="D622" s="5">
        <v>1405.61</v>
      </c>
      <c r="E622" s="5">
        <v>5.0</v>
      </c>
      <c r="F622" s="6">
        <v>7028.05</v>
      </c>
      <c r="G622" s="2" t="s">
        <v>1945</v>
      </c>
      <c r="H622" s="2" t="s">
        <v>1946</v>
      </c>
      <c r="I622" s="2" t="s">
        <v>1947</v>
      </c>
    </row>
    <row r="623" ht="15.75" customHeight="1">
      <c r="A623" s="1">
        <v>45644.0</v>
      </c>
      <c r="B623" s="2" t="s">
        <v>35</v>
      </c>
      <c r="C623" s="2" t="s">
        <v>71</v>
      </c>
      <c r="D623" s="5">
        <v>564.58</v>
      </c>
      <c r="E623" s="5">
        <v>4.0</v>
      </c>
      <c r="F623" s="6">
        <v>2258.32</v>
      </c>
      <c r="G623" s="2" t="s">
        <v>1948</v>
      </c>
      <c r="H623" s="2" t="s">
        <v>1949</v>
      </c>
      <c r="I623" s="2" t="s">
        <v>1950</v>
      </c>
    </row>
    <row r="624" ht="15.75" customHeight="1">
      <c r="A624" s="1">
        <v>45644.0</v>
      </c>
      <c r="B624" s="2" t="s">
        <v>58</v>
      </c>
      <c r="C624" s="2" t="s">
        <v>190</v>
      </c>
      <c r="D624" s="5">
        <v>2310.61</v>
      </c>
      <c r="E624" s="5">
        <v>3.0</v>
      </c>
      <c r="F624" s="6">
        <v>6931.83</v>
      </c>
      <c r="G624" s="2" t="s">
        <v>1951</v>
      </c>
      <c r="H624" s="2" t="s">
        <v>1952</v>
      </c>
      <c r="I624" s="2" t="s">
        <v>1953</v>
      </c>
    </row>
    <row r="625" ht="15.75" customHeight="1">
      <c r="A625" s="1">
        <v>45644.0</v>
      </c>
      <c r="B625" s="2" t="s">
        <v>9</v>
      </c>
      <c r="C625" s="2" t="s">
        <v>369</v>
      </c>
      <c r="D625" s="5">
        <v>2425.55</v>
      </c>
      <c r="E625" s="5">
        <v>3.0</v>
      </c>
      <c r="F625" s="6">
        <v>7276.65</v>
      </c>
      <c r="G625" s="2" t="s">
        <v>1954</v>
      </c>
      <c r="H625" s="2" t="s">
        <v>1955</v>
      </c>
      <c r="I625" s="2" t="s">
        <v>1956</v>
      </c>
    </row>
    <row r="626" ht="15.75" customHeight="1">
      <c r="A626" s="1">
        <v>45644.0</v>
      </c>
      <c r="B626" s="2" t="s">
        <v>35</v>
      </c>
      <c r="C626" s="2" t="s">
        <v>85</v>
      </c>
      <c r="D626" s="5">
        <v>944.98</v>
      </c>
      <c r="E626" s="5">
        <v>1.0</v>
      </c>
      <c r="F626" s="6">
        <v>944.98</v>
      </c>
      <c r="G626" s="2" t="s">
        <v>1957</v>
      </c>
      <c r="H626" s="2" t="s">
        <v>1958</v>
      </c>
      <c r="I626" s="2" t="s">
        <v>1959</v>
      </c>
    </row>
    <row r="627" ht="15.75" customHeight="1">
      <c r="A627" s="1">
        <v>45644.0</v>
      </c>
      <c r="B627" s="2" t="s">
        <v>14</v>
      </c>
      <c r="C627" s="2" t="s">
        <v>319</v>
      </c>
      <c r="D627" s="5">
        <v>1876.74</v>
      </c>
      <c r="E627" s="5">
        <v>3.0</v>
      </c>
      <c r="F627" s="6">
        <v>5630.22</v>
      </c>
      <c r="G627" s="2" t="s">
        <v>1960</v>
      </c>
      <c r="H627" s="2" t="s">
        <v>1961</v>
      </c>
      <c r="I627" s="2" t="s">
        <v>1962</v>
      </c>
    </row>
    <row r="628" ht="15.75" customHeight="1">
      <c r="A628" s="1">
        <v>45644.0</v>
      </c>
      <c r="B628" s="2" t="s">
        <v>9</v>
      </c>
      <c r="C628" s="2" t="s">
        <v>190</v>
      </c>
      <c r="D628" s="5">
        <v>2031.79</v>
      </c>
      <c r="E628" s="5">
        <v>5.0</v>
      </c>
      <c r="F628" s="6">
        <v>10158.95</v>
      </c>
      <c r="G628" s="2" t="s">
        <v>1963</v>
      </c>
      <c r="H628" s="2" t="s">
        <v>1964</v>
      </c>
      <c r="I628" s="2" t="s">
        <v>1965</v>
      </c>
    </row>
    <row r="629" ht="15.75" customHeight="1">
      <c r="A629" s="1">
        <v>45644.0</v>
      </c>
      <c r="B629" s="2" t="s">
        <v>58</v>
      </c>
      <c r="C629" s="2" t="s">
        <v>186</v>
      </c>
      <c r="D629" s="5">
        <v>1031.51</v>
      </c>
      <c r="E629" s="5">
        <v>1.0</v>
      </c>
      <c r="F629" s="6">
        <v>1031.51</v>
      </c>
      <c r="G629" s="2" t="s">
        <v>1966</v>
      </c>
      <c r="H629" s="2" t="s">
        <v>1967</v>
      </c>
      <c r="I629" s="2" t="s">
        <v>1968</v>
      </c>
    </row>
    <row r="630" ht="15.75" customHeight="1">
      <c r="A630" s="1">
        <v>45644.0</v>
      </c>
      <c r="B630" s="2" t="s">
        <v>75</v>
      </c>
      <c r="C630" s="2" t="s">
        <v>218</v>
      </c>
      <c r="D630" s="5">
        <v>879.04</v>
      </c>
      <c r="E630" s="5">
        <v>2.0</v>
      </c>
      <c r="F630" s="6">
        <v>1758.08</v>
      </c>
      <c r="G630" s="2" t="s">
        <v>1969</v>
      </c>
      <c r="H630" s="2" t="s">
        <v>1970</v>
      </c>
      <c r="I630" s="2" t="s">
        <v>1971</v>
      </c>
    </row>
    <row r="631" ht="15.75" customHeight="1">
      <c r="A631" s="1">
        <v>45644.0</v>
      </c>
      <c r="B631" s="2" t="s">
        <v>35</v>
      </c>
      <c r="C631" s="2" t="s">
        <v>15</v>
      </c>
      <c r="D631" s="5">
        <v>292.99</v>
      </c>
      <c r="E631" s="5">
        <v>1.0</v>
      </c>
      <c r="F631" s="6">
        <v>292.99</v>
      </c>
      <c r="G631" s="2" t="s">
        <v>1972</v>
      </c>
      <c r="H631" s="2" t="s">
        <v>1973</v>
      </c>
      <c r="I631" s="2" t="s">
        <v>1974</v>
      </c>
    </row>
    <row r="632" ht="15.75" customHeight="1">
      <c r="A632" s="1">
        <v>45645.0</v>
      </c>
      <c r="B632" s="2" t="s">
        <v>14</v>
      </c>
      <c r="C632" s="2" t="s">
        <v>190</v>
      </c>
      <c r="D632" s="5">
        <v>1575.85</v>
      </c>
      <c r="E632" s="5">
        <v>2.0</v>
      </c>
      <c r="F632" s="6">
        <v>3151.7</v>
      </c>
      <c r="G632" s="2" t="s">
        <v>1975</v>
      </c>
      <c r="H632" s="2" t="s">
        <v>1976</v>
      </c>
      <c r="I632" s="2" t="s">
        <v>1977</v>
      </c>
    </row>
    <row r="633" ht="15.75" customHeight="1">
      <c r="A633" s="1">
        <v>45645.0</v>
      </c>
      <c r="B633" s="2" t="s">
        <v>35</v>
      </c>
      <c r="C633" s="2" t="s">
        <v>132</v>
      </c>
      <c r="D633" s="5">
        <v>720.31</v>
      </c>
      <c r="E633" s="5">
        <v>3.0</v>
      </c>
      <c r="F633" s="6">
        <v>2160.93</v>
      </c>
      <c r="G633" s="2" t="s">
        <v>1978</v>
      </c>
      <c r="H633" s="2" t="s">
        <v>1979</v>
      </c>
      <c r="I633" s="2" t="s">
        <v>1980</v>
      </c>
    </row>
    <row r="634" ht="15.75" customHeight="1">
      <c r="A634" s="1">
        <v>45645.0</v>
      </c>
      <c r="B634" s="2" t="s">
        <v>35</v>
      </c>
      <c r="C634" s="2" t="s">
        <v>71</v>
      </c>
      <c r="D634" s="5">
        <v>2309.76</v>
      </c>
      <c r="E634" s="5">
        <v>5.0</v>
      </c>
      <c r="F634" s="6">
        <v>11548.8</v>
      </c>
      <c r="G634" s="2" t="s">
        <v>1981</v>
      </c>
      <c r="H634" s="2" t="s">
        <v>1982</v>
      </c>
      <c r="I634" s="2" t="s">
        <v>1983</v>
      </c>
    </row>
    <row r="635" ht="15.75" customHeight="1">
      <c r="A635" s="1">
        <v>45645.0</v>
      </c>
      <c r="B635" s="2" t="s">
        <v>35</v>
      </c>
      <c r="C635" s="2" t="s">
        <v>369</v>
      </c>
      <c r="D635" s="5">
        <v>633.29</v>
      </c>
      <c r="E635" s="5">
        <v>1.0</v>
      </c>
      <c r="F635" s="6">
        <v>633.29</v>
      </c>
      <c r="G635" s="2" t="s">
        <v>1984</v>
      </c>
      <c r="H635" s="2" t="s">
        <v>1985</v>
      </c>
      <c r="I635" s="2" t="s">
        <v>1986</v>
      </c>
    </row>
    <row r="636" ht="15.75" customHeight="1">
      <c r="A636" s="1">
        <v>45645.0</v>
      </c>
      <c r="B636" s="2" t="s">
        <v>35</v>
      </c>
      <c r="C636" s="2" t="s">
        <v>71</v>
      </c>
      <c r="D636" s="5">
        <v>530.94</v>
      </c>
      <c r="E636" s="5">
        <v>5.0</v>
      </c>
      <c r="F636" s="6">
        <v>2654.7</v>
      </c>
      <c r="G636" s="2" t="s">
        <v>1987</v>
      </c>
      <c r="H636" s="2" t="s">
        <v>1988</v>
      </c>
      <c r="I636" s="2" t="s">
        <v>1989</v>
      </c>
    </row>
    <row r="637" ht="15.75" customHeight="1">
      <c r="A637" s="1">
        <v>45645.0</v>
      </c>
      <c r="B637" s="2" t="s">
        <v>35</v>
      </c>
      <c r="C637" s="2" t="s">
        <v>10</v>
      </c>
      <c r="D637" s="5">
        <v>127.35</v>
      </c>
      <c r="E637" s="5">
        <v>1.0</v>
      </c>
      <c r="F637" s="6">
        <v>127.35</v>
      </c>
      <c r="G637" s="2" t="s">
        <v>1990</v>
      </c>
      <c r="H637" s="2" t="s">
        <v>1991</v>
      </c>
      <c r="I637" s="2" t="s">
        <v>1992</v>
      </c>
    </row>
    <row r="638" ht="15.75" customHeight="1">
      <c r="A638" s="1">
        <v>45645.0</v>
      </c>
      <c r="B638" s="2" t="s">
        <v>9</v>
      </c>
      <c r="C638" s="2" t="s">
        <v>373</v>
      </c>
      <c r="D638" s="5">
        <v>1008.28</v>
      </c>
      <c r="E638" s="5">
        <v>5.0</v>
      </c>
      <c r="F638" s="6">
        <v>5041.4</v>
      </c>
      <c r="G638" s="2" t="s">
        <v>1993</v>
      </c>
      <c r="H638" s="2" t="s">
        <v>1994</v>
      </c>
      <c r="I638" s="2" t="s">
        <v>1995</v>
      </c>
    </row>
    <row r="639" ht="15.75" customHeight="1">
      <c r="A639" s="1">
        <v>45645.0</v>
      </c>
      <c r="B639" s="2" t="s">
        <v>14</v>
      </c>
      <c r="C639" s="2" t="s">
        <v>117</v>
      </c>
      <c r="D639" s="5">
        <v>1900.01</v>
      </c>
      <c r="E639" s="5">
        <v>5.0</v>
      </c>
      <c r="F639" s="6">
        <v>9500.05</v>
      </c>
      <c r="G639" s="2" t="s">
        <v>1996</v>
      </c>
      <c r="H639" s="2" t="s">
        <v>1997</v>
      </c>
      <c r="I639" s="2" t="s">
        <v>1998</v>
      </c>
    </row>
    <row r="640" ht="15.75" customHeight="1">
      <c r="A640" s="1">
        <v>45645.0</v>
      </c>
      <c r="B640" s="2" t="s">
        <v>75</v>
      </c>
      <c r="C640" s="2" t="s">
        <v>182</v>
      </c>
      <c r="D640" s="5">
        <v>1254.96</v>
      </c>
      <c r="E640" s="5">
        <v>1.0</v>
      </c>
      <c r="F640" s="6">
        <v>1254.96</v>
      </c>
      <c r="G640" s="2" t="s">
        <v>1999</v>
      </c>
      <c r="H640" s="2" t="s">
        <v>2000</v>
      </c>
      <c r="I640" s="2" t="s">
        <v>2001</v>
      </c>
    </row>
    <row r="641" ht="15.75" customHeight="1">
      <c r="A641" s="1">
        <v>45645.0</v>
      </c>
      <c r="B641" s="2" t="s">
        <v>9</v>
      </c>
      <c r="C641" s="2" t="s">
        <v>117</v>
      </c>
      <c r="D641" s="5">
        <v>432.18</v>
      </c>
      <c r="E641" s="5">
        <v>1.0</v>
      </c>
      <c r="F641" s="6">
        <v>432.18</v>
      </c>
      <c r="G641" s="2" t="s">
        <v>2002</v>
      </c>
      <c r="H641" s="2" t="s">
        <v>2003</v>
      </c>
      <c r="I641" s="2" t="s">
        <v>2004</v>
      </c>
    </row>
    <row r="642" ht="15.75" customHeight="1">
      <c r="A642" s="1">
        <v>45646.0</v>
      </c>
      <c r="B642" s="2" t="s">
        <v>75</v>
      </c>
      <c r="C642" s="2" t="s">
        <v>218</v>
      </c>
      <c r="D642" s="5">
        <v>2373.12</v>
      </c>
      <c r="E642" s="5">
        <v>2.0</v>
      </c>
      <c r="F642" s="6">
        <v>4746.24</v>
      </c>
      <c r="G642" s="2" t="s">
        <v>2005</v>
      </c>
      <c r="H642" s="2" t="s">
        <v>2006</v>
      </c>
      <c r="I642" s="2" t="s">
        <v>2007</v>
      </c>
    </row>
    <row r="643" ht="15.75" customHeight="1">
      <c r="A643" s="1">
        <v>45646.0</v>
      </c>
      <c r="B643" s="2" t="s">
        <v>35</v>
      </c>
      <c r="C643" s="2" t="s">
        <v>85</v>
      </c>
      <c r="D643" s="5">
        <v>290.07</v>
      </c>
      <c r="E643" s="5">
        <v>4.0</v>
      </c>
      <c r="F643" s="6">
        <v>1160.28</v>
      </c>
      <c r="G643" s="2" t="s">
        <v>2008</v>
      </c>
      <c r="H643" s="2" t="s">
        <v>2009</v>
      </c>
      <c r="I643" s="2" t="s">
        <v>2010</v>
      </c>
    </row>
    <row r="644" ht="15.75" customHeight="1">
      <c r="A644" s="1">
        <v>45646.0</v>
      </c>
      <c r="B644" s="2" t="s">
        <v>9</v>
      </c>
      <c r="C644" s="2" t="s">
        <v>190</v>
      </c>
      <c r="D644" s="5">
        <v>841.77</v>
      </c>
      <c r="E644" s="5">
        <v>1.0</v>
      </c>
      <c r="F644" s="6">
        <v>841.77</v>
      </c>
      <c r="G644" s="2" t="s">
        <v>2011</v>
      </c>
      <c r="H644" s="2" t="s">
        <v>2012</v>
      </c>
      <c r="I644" s="2" t="s">
        <v>2013</v>
      </c>
    </row>
    <row r="645" ht="15.75" customHeight="1">
      <c r="A645" s="1">
        <v>45646.0</v>
      </c>
      <c r="B645" s="2" t="s">
        <v>9</v>
      </c>
      <c r="C645" s="2" t="s">
        <v>121</v>
      </c>
      <c r="D645" s="5">
        <v>1501.95</v>
      </c>
      <c r="E645" s="5">
        <v>2.0</v>
      </c>
      <c r="F645" s="6">
        <v>3003.9</v>
      </c>
      <c r="G645" s="2" t="s">
        <v>2014</v>
      </c>
      <c r="H645" s="2" t="s">
        <v>2015</v>
      </c>
      <c r="I645" s="2" t="s">
        <v>2016</v>
      </c>
    </row>
    <row r="646" ht="15.75" customHeight="1">
      <c r="A646" s="1">
        <v>45646.0</v>
      </c>
      <c r="B646" s="2" t="s">
        <v>35</v>
      </c>
      <c r="C646" s="2" t="s">
        <v>666</v>
      </c>
      <c r="D646" s="5">
        <v>769.01</v>
      </c>
      <c r="E646" s="5">
        <v>5.0</v>
      </c>
      <c r="F646" s="6">
        <v>3845.05</v>
      </c>
      <c r="G646" s="2" t="s">
        <v>2017</v>
      </c>
      <c r="H646" s="2" t="s">
        <v>2018</v>
      </c>
      <c r="I646" s="2" t="s">
        <v>2019</v>
      </c>
    </row>
    <row r="647" ht="15.75" customHeight="1">
      <c r="A647" s="1">
        <v>45646.0</v>
      </c>
      <c r="B647" s="3" t="s">
        <v>30</v>
      </c>
      <c r="C647" s="2" t="s">
        <v>163</v>
      </c>
      <c r="D647" s="5">
        <v>1507.69</v>
      </c>
      <c r="E647" s="5">
        <v>5.0</v>
      </c>
      <c r="F647" s="6">
        <v>7538.45</v>
      </c>
      <c r="G647" s="2" t="s">
        <v>2020</v>
      </c>
      <c r="H647" s="2" t="s">
        <v>2021</v>
      </c>
      <c r="I647" s="2" t="s">
        <v>2022</v>
      </c>
    </row>
    <row r="648" ht="15.75" customHeight="1">
      <c r="A648" s="1">
        <v>45646.0</v>
      </c>
      <c r="B648" s="2" t="s">
        <v>9</v>
      </c>
      <c r="C648" s="2" t="s">
        <v>182</v>
      </c>
      <c r="D648" s="5">
        <v>2086.91</v>
      </c>
      <c r="E648" s="5">
        <v>5.0</v>
      </c>
      <c r="F648" s="6">
        <v>10434.55</v>
      </c>
      <c r="G648" s="2" t="s">
        <v>2023</v>
      </c>
      <c r="H648" s="2" t="s">
        <v>2024</v>
      </c>
      <c r="I648" s="2" t="s">
        <v>2025</v>
      </c>
    </row>
    <row r="649" ht="15.75" customHeight="1">
      <c r="A649" s="1">
        <v>45646.0</v>
      </c>
      <c r="B649" s="3" t="s">
        <v>30</v>
      </c>
      <c r="C649" s="2" t="s">
        <v>399</v>
      </c>
      <c r="D649" s="5">
        <v>1092.96</v>
      </c>
      <c r="E649" s="5">
        <v>4.0</v>
      </c>
      <c r="F649" s="6">
        <v>4371.84</v>
      </c>
      <c r="G649" s="2" t="s">
        <v>2026</v>
      </c>
      <c r="H649" s="2" t="s">
        <v>2027</v>
      </c>
      <c r="I649" s="2" t="s">
        <v>2028</v>
      </c>
    </row>
    <row r="650" ht="15.75" customHeight="1">
      <c r="A650" s="1">
        <v>45646.0</v>
      </c>
      <c r="B650" s="2" t="s">
        <v>58</v>
      </c>
      <c r="C650" s="2" t="s">
        <v>139</v>
      </c>
      <c r="D650" s="5">
        <v>2114.97</v>
      </c>
      <c r="E650" s="5">
        <v>1.0</v>
      </c>
      <c r="F650" s="6">
        <v>2114.97</v>
      </c>
      <c r="G650" s="2" t="s">
        <v>2029</v>
      </c>
      <c r="H650" s="2" t="s">
        <v>2030</v>
      </c>
      <c r="I650" s="2" t="s">
        <v>2031</v>
      </c>
    </row>
    <row r="651" ht="15.75" customHeight="1">
      <c r="A651" s="1">
        <v>45646.0</v>
      </c>
      <c r="B651" s="2" t="s">
        <v>14</v>
      </c>
      <c r="C651" s="2" t="s">
        <v>373</v>
      </c>
      <c r="D651" s="5">
        <v>2077.18</v>
      </c>
      <c r="E651" s="5">
        <v>4.0</v>
      </c>
      <c r="F651" s="6">
        <v>8308.72</v>
      </c>
      <c r="G651" s="2" t="s">
        <v>2032</v>
      </c>
      <c r="H651" s="2" t="s">
        <v>2033</v>
      </c>
      <c r="I651" s="2" t="s">
        <v>2034</v>
      </c>
    </row>
    <row r="652" ht="15.75" customHeight="1">
      <c r="A652" s="1">
        <v>45647.0</v>
      </c>
      <c r="B652" s="2" t="s">
        <v>35</v>
      </c>
      <c r="C652" s="2" t="s">
        <v>666</v>
      </c>
      <c r="D652" s="5">
        <v>1547.71</v>
      </c>
      <c r="E652" s="5">
        <v>5.0</v>
      </c>
      <c r="F652" s="6">
        <v>7738.55</v>
      </c>
      <c r="G652" s="2" t="s">
        <v>2035</v>
      </c>
      <c r="H652" s="2" t="s">
        <v>2036</v>
      </c>
      <c r="I652" s="2" t="s">
        <v>2037</v>
      </c>
    </row>
    <row r="653" ht="15.75" customHeight="1">
      <c r="A653" s="1">
        <v>45647.0</v>
      </c>
      <c r="B653" s="2" t="s">
        <v>9</v>
      </c>
      <c r="C653" s="2" t="s">
        <v>163</v>
      </c>
      <c r="D653" s="5">
        <v>1944.73</v>
      </c>
      <c r="E653" s="5">
        <v>4.0</v>
      </c>
      <c r="F653" s="6">
        <v>7778.92</v>
      </c>
      <c r="G653" s="2" t="s">
        <v>2038</v>
      </c>
      <c r="H653" s="2" t="s">
        <v>2039</v>
      </c>
      <c r="I653" s="2" t="s">
        <v>2040</v>
      </c>
    </row>
    <row r="654" ht="15.75" customHeight="1">
      <c r="A654" s="1">
        <v>45647.0</v>
      </c>
      <c r="B654" s="2" t="s">
        <v>75</v>
      </c>
      <c r="C654" s="2" t="s">
        <v>121</v>
      </c>
      <c r="D654" s="5">
        <v>1459.53</v>
      </c>
      <c r="E654" s="5">
        <v>1.0</v>
      </c>
      <c r="F654" s="6">
        <v>1459.53</v>
      </c>
      <c r="G654" s="2" t="s">
        <v>2041</v>
      </c>
      <c r="H654" s="2" t="s">
        <v>2042</v>
      </c>
      <c r="I654" s="2" t="s">
        <v>2043</v>
      </c>
    </row>
    <row r="655" ht="15.75" customHeight="1">
      <c r="A655" s="1">
        <v>45647.0</v>
      </c>
      <c r="B655" s="2" t="s">
        <v>2044</v>
      </c>
      <c r="C655" s="2" t="s">
        <v>389</v>
      </c>
      <c r="D655" s="5">
        <v>1019.73</v>
      </c>
      <c r="E655" s="5">
        <v>2.0</v>
      </c>
      <c r="F655" s="6">
        <v>2039.46</v>
      </c>
      <c r="G655" s="2" t="s">
        <v>2045</v>
      </c>
      <c r="H655" s="2" t="s">
        <v>2046</v>
      </c>
      <c r="I655" s="2" t="s">
        <v>2047</v>
      </c>
    </row>
    <row r="656" ht="15.75" customHeight="1">
      <c r="A656" s="1">
        <v>45647.0</v>
      </c>
      <c r="B656" s="3" t="s">
        <v>30</v>
      </c>
      <c r="C656" s="2" t="s">
        <v>272</v>
      </c>
      <c r="D656" s="5">
        <v>1670.11</v>
      </c>
      <c r="E656" s="5">
        <v>3.0</v>
      </c>
      <c r="F656" s="6">
        <v>5010.33</v>
      </c>
      <c r="G656" s="2" t="s">
        <v>2048</v>
      </c>
      <c r="H656" s="2" t="s">
        <v>2049</v>
      </c>
      <c r="I656" s="2" t="s">
        <v>2050</v>
      </c>
    </row>
    <row r="657" ht="15.75" customHeight="1">
      <c r="A657" s="1">
        <v>45647.0</v>
      </c>
      <c r="B657" s="2" t="s">
        <v>75</v>
      </c>
      <c r="C657" s="2" t="s">
        <v>63</v>
      </c>
      <c r="D657" s="5">
        <v>2008.78</v>
      </c>
      <c r="E657" s="5">
        <v>5.0</v>
      </c>
      <c r="F657" s="6">
        <v>10043.9</v>
      </c>
      <c r="G657" s="2" t="s">
        <v>2051</v>
      </c>
      <c r="H657" s="2" t="s">
        <v>2052</v>
      </c>
      <c r="I657" s="2" t="s">
        <v>2053</v>
      </c>
    </row>
    <row r="658" ht="15.75" customHeight="1">
      <c r="A658" s="1">
        <v>45647.0</v>
      </c>
      <c r="B658" s="3" t="s">
        <v>30</v>
      </c>
      <c r="C658" s="2" t="s">
        <v>132</v>
      </c>
      <c r="D658" s="5">
        <v>2461.26</v>
      </c>
      <c r="E658" s="5">
        <v>3.0</v>
      </c>
      <c r="F658" s="6">
        <v>7383.78</v>
      </c>
      <c r="G658" s="2" t="s">
        <v>2054</v>
      </c>
      <c r="H658" s="2" t="s">
        <v>2055</v>
      </c>
      <c r="I658" s="2" t="s">
        <v>2056</v>
      </c>
    </row>
    <row r="659" ht="15.75" customHeight="1">
      <c r="A659" s="1">
        <v>45647.0</v>
      </c>
      <c r="B659" s="2" t="s">
        <v>58</v>
      </c>
      <c r="C659" s="2" t="s">
        <v>399</v>
      </c>
      <c r="D659" s="5">
        <v>2224.42</v>
      </c>
      <c r="E659" s="5">
        <v>4.0</v>
      </c>
      <c r="F659" s="6">
        <v>8897.68</v>
      </c>
      <c r="G659" s="2" t="s">
        <v>2057</v>
      </c>
      <c r="H659" s="2" t="s">
        <v>2058</v>
      </c>
      <c r="I659" s="2" t="s">
        <v>2059</v>
      </c>
    </row>
    <row r="660" ht="15.75" customHeight="1">
      <c r="A660" s="1">
        <v>45647.0</v>
      </c>
      <c r="B660" s="2" t="s">
        <v>75</v>
      </c>
      <c r="C660" s="2" t="s">
        <v>125</v>
      </c>
      <c r="D660" s="5">
        <v>1979.07</v>
      </c>
      <c r="E660" s="5">
        <v>1.0</v>
      </c>
      <c r="F660" s="6">
        <v>1979.07</v>
      </c>
      <c r="G660" s="2" t="s">
        <v>2060</v>
      </c>
      <c r="H660" s="2" t="s">
        <v>2061</v>
      </c>
      <c r="I660" s="2" t="s">
        <v>2062</v>
      </c>
    </row>
    <row r="661" ht="15.75" customHeight="1">
      <c r="A661" s="1">
        <v>45647.0</v>
      </c>
      <c r="B661" s="2" t="s">
        <v>58</v>
      </c>
      <c r="C661" s="2" t="s">
        <v>90</v>
      </c>
      <c r="D661" s="5">
        <v>1397.8</v>
      </c>
      <c r="E661" s="5">
        <v>2.0</v>
      </c>
      <c r="F661" s="6">
        <v>2795.6</v>
      </c>
      <c r="G661" s="2" t="s">
        <v>2063</v>
      </c>
      <c r="H661" s="2" t="s">
        <v>2064</v>
      </c>
      <c r="I661" s="2" t="s">
        <v>2065</v>
      </c>
    </row>
    <row r="662" ht="15.75" customHeight="1">
      <c r="A662" s="1">
        <v>45648.0</v>
      </c>
      <c r="B662" s="2" t="s">
        <v>58</v>
      </c>
      <c r="C662" s="2" t="s">
        <v>94</v>
      </c>
      <c r="D662" s="5">
        <v>1636.65</v>
      </c>
      <c r="E662" s="5">
        <v>2.0</v>
      </c>
      <c r="F662" s="6">
        <v>3273.3</v>
      </c>
      <c r="G662" s="2" t="s">
        <v>2066</v>
      </c>
      <c r="H662" s="2" t="s">
        <v>2067</v>
      </c>
      <c r="I662" s="2" t="s">
        <v>2068</v>
      </c>
    </row>
    <row r="663" ht="15.75" customHeight="1">
      <c r="A663" s="1">
        <v>45648.0</v>
      </c>
      <c r="B663" s="2" t="s">
        <v>75</v>
      </c>
      <c r="C663" s="2" t="s">
        <v>23</v>
      </c>
      <c r="D663" s="5">
        <v>2186.25</v>
      </c>
      <c r="E663" s="5">
        <v>5.0</v>
      </c>
      <c r="F663" s="6">
        <v>10931.25</v>
      </c>
      <c r="G663" s="2" t="s">
        <v>2069</v>
      </c>
      <c r="H663" s="2" t="s">
        <v>2070</v>
      </c>
      <c r="I663" s="2" t="s">
        <v>2071</v>
      </c>
    </row>
    <row r="664" ht="15.75" customHeight="1">
      <c r="A664" s="1">
        <v>45648.0</v>
      </c>
      <c r="B664" s="2" t="s">
        <v>9</v>
      </c>
      <c r="C664" s="2" t="s">
        <v>85</v>
      </c>
      <c r="D664" s="5">
        <v>1567.55</v>
      </c>
      <c r="E664" s="5">
        <v>3.0</v>
      </c>
      <c r="F664" s="6">
        <v>4702.65</v>
      </c>
      <c r="G664" s="2" t="s">
        <v>2072</v>
      </c>
      <c r="H664" s="2" t="s">
        <v>2073</v>
      </c>
      <c r="I664" s="2" t="s">
        <v>2074</v>
      </c>
    </row>
    <row r="665" ht="15.75" customHeight="1">
      <c r="A665" s="1">
        <v>45648.0</v>
      </c>
      <c r="B665" s="2" t="s">
        <v>2044</v>
      </c>
      <c r="C665" s="2" t="s">
        <v>190</v>
      </c>
      <c r="D665" s="5">
        <v>1717.67</v>
      </c>
      <c r="E665" s="5">
        <v>4.0</v>
      </c>
      <c r="F665" s="6">
        <v>6870.68</v>
      </c>
      <c r="G665" s="2" t="s">
        <v>2075</v>
      </c>
      <c r="H665" s="2" t="s">
        <v>2076</v>
      </c>
      <c r="I665" s="2" t="s">
        <v>2077</v>
      </c>
    </row>
    <row r="666" ht="15.75" customHeight="1">
      <c r="A666" s="1">
        <v>45648.0</v>
      </c>
      <c r="B666" s="2" t="s">
        <v>35</v>
      </c>
      <c r="C666" s="2" t="s">
        <v>186</v>
      </c>
      <c r="D666" s="5">
        <v>778.63</v>
      </c>
      <c r="E666" s="5">
        <v>1.0</v>
      </c>
      <c r="F666" s="6">
        <v>778.63</v>
      </c>
      <c r="G666" s="2" t="s">
        <v>2078</v>
      </c>
      <c r="H666" s="2" t="s">
        <v>2079</v>
      </c>
      <c r="I666" s="2" t="s">
        <v>2080</v>
      </c>
    </row>
    <row r="667" ht="15.75" customHeight="1">
      <c r="A667" s="1">
        <v>45648.0</v>
      </c>
      <c r="B667" s="2" t="s">
        <v>9</v>
      </c>
      <c r="C667" s="2" t="s">
        <v>233</v>
      </c>
      <c r="D667" s="5">
        <v>2251.92</v>
      </c>
      <c r="E667" s="5">
        <v>5.0</v>
      </c>
      <c r="F667" s="6">
        <v>11259.6</v>
      </c>
      <c r="G667" s="2" t="s">
        <v>2081</v>
      </c>
      <c r="H667" s="2" t="s">
        <v>2082</v>
      </c>
      <c r="I667" s="2" t="s">
        <v>2083</v>
      </c>
    </row>
    <row r="668" ht="15.75" customHeight="1">
      <c r="A668" s="1">
        <v>45648.0</v>
      </c>
      <c r="B668" s="2" t="s">
        <v>75</v>
      </c>
      <c r="C668" s="2" t="s">
        <v>186</v>
      </c>
      <c r="D668" s="5">
        <v>1770.14</v>
      </c>
      <c r="E668" s="5">
        <v>1.0</v>
      </c>
      <c r="F668" s="6">
        <v>1770.14</v>
      </c>
      <c r="G668" s="2" t="s">
        <v>2084</v>
      </c>
      <c r="H668" s="2" t="s">
        <v>2085</v>
      </c>
      <c r="I668" s="2" t="s">
        <v>2086</v>
      </c>
    </row>
    <row r="669" ht="15.75" customHeight="1">
      <c r="A669" s="1">
        <v>45648.0</v>
      </c>
      <c r="B669" s="2" t="s">
        <v>9</v>
      </c>
      <c r="C669" s="2" t="s">
        <v>71</v>
      </c>
      <c r="D669" s="5">
        <v>489.63</v>
      </c>
      <c r="E669" s="5">
        <v>1.0</v>
      </c>
      <c r="F669" s="6">
        <v>489.63</v>
      </c>
      <c r="G669" s="2" t="s">
        <v>2087</v>
      </c>
      <c r="H669" s="2" t="s">
        <v>2088</v>
      </c>
      <c r="I669" s="2" t="s">
        <v>2089</v>
      </c>
    </row>
    <row r="670" ht="15.75" customHeight="1">
      <c r="A670" s="1">
        <v>45649.0</v>
      </c>
      <c r="B670" s="2" t="s">
        <v>58</v>
      </c>
      <c r="C670" s="2" t="s">
        <v>67</v>
      </c>
      <c r="D670" s="5">
        <v>625.26</v>
      </c>
      <c r="E670" s="5">
        <v>5.0</v>
      </c>
      <c r="F670" s="6">
        <v>3126.3</v>
      </c>
      <c r="G670" s="2" t="s">
        <v>2090</v>
      </c>
      <c r="H670" s="2" t="s">
        <v>2091</v>
      </c>
      <c r="I670" s="2" t="s">
        <v>2092</v>
      </c>
    </row>
    <row r="671" ht="15.75" customHeight="1">
      <c r="A671" s="1">
        <v>45649.0</v>
      </c>
      <c r="B671" s="2" t="s">
        <v>9</v>
      </c>
      <c r="C671" s="2" t="s">
        <v>319</v>
      </c>
      <c r="D671" s="5">
        <v>784.39</v>
      </c>
      <c r="E671" s="5">
        <v>1.0</v>
      </c>
      <c r="F671" s="6">
        <v>784.39</v>
      </c>
      <c r="G671" s="2" t="s">
        <v>2093</v>
      </c>
      <c r="H671" s="2" t="s">
        <v>2094</v>
      </c>
      <c r="I671" s="2" t="s">
        <v>2095</v>
      </c>
    </row>
    <row r="672" ht="15.75" customHeight="1">
      <c r="A672" s="1">
        <v>45649.0</v>
      </c>
      <c r="B672" s="2" t="s">
        <v>58</v>
      </c>
      <c r="C672" s="2" t="s">
        <v>292</v>
      </c>
      <c r="D672" s="5">
        <v>1719.53</v>
      </c>
      <c r="E672" s="5">
        <v>2.0</v>
      </c>
      <c r="F672" s="6">
        <v>3439.06</v>
      </c>
      <c r="G672" s="2" t="s">
        <v>2096</v>
      </c>
      <c r="H672" s="2" t="s">
        <v>2097</v>
      </c>
      <c r="I672" s="2" t="s">
        <v>2098</v>
      </c>
    </row>
    <row r="673" ht="15.75" customHeight="1">
      <c r="A673" s="1">
        <v>45649.0</v>
      </c>
      <c r="B673" s="2" t="s">
        <v>14</v>
      </c>
      <c r="C673" s="2" t="s">
        <v>59</v>
      </c>
      <c r="D673" s="5">
        <v>861.73</v>
      </c>
      <c r="E673" s="5">
        <v>5.0</v>
      </c>
      <c r="F673" s="6">
        <v>4308.65</v>
      </c>
      <c r="G673" s="2" t="s">
        <v>2099</v>
      </c>
      <c r="H673" s="2" t="s">
        <v>2100</v>
      </c>
      <c r="I673" s="2" t="s">
        <v>2101</v>
      </c>
    </row>
    <row r="674" ht="15.75" customHeight="1">
      <c r="A674" s="1">
        <v>45649.0</v>
      </c>
      <c r="B674" s="2" t="s">
        <v>14</v>
      </c>
      <c r="C674" s="2" t="s">
        <v>255</v>
      </c>
      <c r="D674" s="5">
        <v>988.8</v>
      </c>
      <c r="E674" s="5">
        <v>5.0</v>
      </c>
      <c r="F674" s="6">
        <v>4944.0</v>
      </c>
      <c r="G674" s="2" t="s">
        <v>2102</v>
      </c>
      <c r="H674" s="2" t="s">
        <v>2103</v>
      </c>
      <c r="I674" s="2" t="s">
        <v>2104</v>
      </c>
    </row>
    <row r="675" ht="15.75" customHeight="1">
      <c r="A675" s="1">
        <v>45649.0</v>
      </c>
      <c r="B675" s="2" t="s">
        <v>9</v>
      </c>
      <c r="C675" s="2" t="s">
        <v>311</v>
      </c>
      <c r="D675" s="5">
        <v>1696.63</v>
      </c>
      <c r="E675" s="5">
        <v>4.0</v>
      </c>
      <c r="F675" s="6">
        <v>6786.52</v>
      </c>
      <c r="G675" s="2" t="s">
        <v>2105</v>
      </c>
      <c r="H675" s="2" t="s">
        <v>2106</v>
      </c>
      <c r="I675" s="2" t="s">
        <v>2107</v>
      </c>
    </row>
    <row r="676" ht="15.75" customHeight="1">
      <c r="A676" s="1">
        <v>45649.0</v>
      </c>
      <c r="B676" s="3" t="s">
        <v>30</v>
      </c>
      <c r="C676" s="2" t="s">
        <v>90</v>
      </c>
      <c r="D676" s="5">
        <v>1663.22</v>
      </c>
      <c r="E676" s="5">
        <v>5.0</v>
      </c>
      <c r="F676" s="6">
        <v>8316.1</v>
      </c>
      <c r="G676" s="2" t="s">
        <v>2108</v>
      </c>
      <c r="H676" s="2" t="s">
        <v>2109</v>
      </c>
      <c r="I676" s="2" t="s">
        <v>2110</v>
      </c>
    </row>
    <row r="677" ht="15.75" customHeight="1">
      <c r="A677" s="1">
        <v>45649.0</v>
      </c>
      <c r="B677" s="2" t="s">
        <v>9</v>
      </c>
      <c r="C677" s="2" t="s">
        <v>272</v>
      </c>
      <c r="D677" s="5">
        <v>1991.97</v>
      </c>
      <c r="E677" s="5">
        <v>3.0</v>
      </c>
      <c r="F677" s="6">
        <v>5975.91</v>
      </c>
      <c r="G677" s="2" t="s">
        <v>2111</v>
      </c>
      <c r="H677" s="2" t="s">
        <v>2112</v>
      </c>
      <c r="I677" s="2" t="s">
        <v>2113</v>
      </c>
    </row>
    <row r="678" ht="15.75" customHeight="1">
      <c r="A678" s="1">
        <v>45649.0</v>
      </c>
      <c r="B678" s="3" t="s">
        <v>30</v>
      </c>
      <c r="C678" s="2" t="s">
        <v>85</v>
      </c>
      <c r="D678" s="5">
        <v>1918.04</v>
      </c>
      <c r="E678" s="5">
        <v>5.0</v>
      </c>
      <c r="F678" s="6">
        <v>9590.2</v>
      </c>
      <c r="G678" s="2" t="s">
        <v>2114</v>
      </c>
      <c r="H678" s="2" t="s">
        <v>2115</v>
      </c>
      <c r="I678" s="2" t="s">
        <v>2116</v>
      </c>
    </row>
    <row r="679" ht="15.75" customHeight="1">
      <c r="A679" s="1">
        <v>45649.0</v>
      </c>
      <c r="B679" s="2" t="s">
        <v>75</v>
      </c>
      <c r="C679" s="2" t="s">
        <v>36</v>
      </c>
      <c r="D679" s="5">
        <v>2115.54</v>
      </c>
      <c r="E679" s="5">
        <v>5.0</v>
      </c>
      <c r="F679" s="6">
        <v>10577.7</v>
      </c>
      <c r="G679" s="2" t="s">
        <v>2117</v>
      </c>
      <c r="H679" s="2" t="s">
        <v>2118</v>
      </c>
      <c r="I679" s="2" t="s">
        <v>2119</v>
      </c>
    </row>
    <row r="680" ht="15.75" customHeight="1">
      <c r="A680" s="1">
        <v>45649.0</v>
      </c>
      <c r="B680" s="2" t="s">
        <v>35</v>
      </c>
      <c r="C680" s="2" t="s">
        <v>153</v>
      </c>
      <c r="D680" s="5">
        <v>2469.75</v>
      </c>
      <c r="E680" s="5">
        <v>5.0</v>
      </c>
      <c r="F680" s="6">
        <v>12348.75</v>
      </c>
      <c r="G680" s="2" t="s">
        <v>2120</v>
      </c>
      <c r="H680" s="2" t="s">
        <v>2121</v>
      </c>
      <c r="I680" s="2" t="s">
        <v>2122</v>
      </c>
    </row>
    <row r="681" ht="15.75" customHeight="1">
      <c r="A681" s="1">
        <v>45649.0</v>
      </c>
      <c r="B681" s="2" t="s">
        <v>9</v>
      </c>
      <c r="C681" s="2" t="s">
        <v>76</v>
      </c>
      <c r="D681" s="5">
        <v>2174.89</v>
      </c>
      <c r="E681" s="5">
        <v>2.0</v>
      </c>
      <c r="F681" s="6">
        <v>4349.78</v>
      </c>
      <c r="G681" s="2" t="s">
        <v>2123</v>
      </c>
      <c r="H681" s="2" t="s">
        <v>2124</v>
      </c>
      <c r="I681" s="2" t="s">
        <v>2125</v>
      </c>
    </row>
    <row r="682" ht="15.75" customHeight="1">
      <c r="A682" s="1">
        <v>45649.0</v>
      </c>
      <c r="B682" s="2" t="s">
        <v>9</v>
      </c>
      <c r="C682" s="2" t="s">
        <v>319</v>
      </c>
      <c r="D682" s="5">
        <v>1148.92</v>
      </c>
      <c r="E682" s="5">
        <v>4.0</v>
      </c>
      <c r="F682" s="6">
        <v>4595.68</v>
      </c>
      <c r="G682" s="2" t="s">
        <v>2126</v>
      </c>
      <c r="H682" s="2" t="s">
        <v>2127</v>
      </c>
      <c r="I682" s="2" t="s">
        <v>2128</v>
      </c>
    </row>
    <row r="683" ht="15.75" customHeight="1">
      <c r="A683" s="1">
        <v>45650.0</v>
      </c>
      <c r="B683" s="3" t="s">
        <v>30</v>
      </c>
      <c r="C683" s="2" t="s">
        <v>81</v>
      </c>
      <c r="D683" s="5">
        <v>1247.53</v>
      </c>
      <c r="E683" s="5">
        <v>4.0</v>
      </c>
      <c r="F683" s="6">
        <v>4990.12</v>
      </c>
      <c r="G683" s="2" t="s">
        <v>2129</v>
      </c>
      <c r="H683" s="2" t="s">
        <v>2130</v>
      </c>
      <c r="I683" s="2" t="s">
        <v>2131</v>
      </c>
    </row>
    <row r="684" ht="15.75" customHeight="1">
      <c r="A684" s="1">
        <v>45650.0</v>
      </c>
      <c r="B684" s="2" t="s">
        <v>35</v>
      </c>
      <c r="C684" s="2" t="s">
        <v>373</v>
      </c>
      <c r="D684" s="5">
        <v>758.87</v>
      </c>
      <c r="E684" s="5">
        <v>3.0</v>
      </c>
      <c r="F684" s="6">
        <v>2276.61</v>
      </c>
      <c r="G684" s="2" t="s">
        <v>2132</v>
      </c>
      <c r="H684" s="2" t="s">
        <v>2133</v>
      </c>
      <c r="I684" s="7" t="s">
        <v>2134</v>
      </c>
    </row>
    <row r="685" ht="15.75" customHeight="1">
      <c r="A685" s="1">
        <v>45650.0</v>
      </c>
      <c r="B685" s="2" t="s">
        <v>75</v>
      </c>
      <c r="C685" s="2" t="s">
        <v>121</v>
      </c>
      <c r="D685" s="5">
        <v>2441.7</v>
      </c>
      <c r="E685" s="5">
        <v>2.0</v>
      </c>
      <c r="F685" s="6">
        <v>4883.4</v>
      </c>
      <c r="G685" s="2" t="s">
        <v>2135</v>
      </c>
      <c r="H685" s="2" t="s">
        <v>2136</v>
      </c>
      <c r="I685" s="2" t="s">
        <v>2137</v>
      </c>
    </row>
    <row r="686" ht="15.75" customHeight="1">
      <c r="A686" s="1">
        <v>45650.0</v>
      </c>
      <c r="B686" s="2" t="s">
        <v>14</v>
      </c>
      <c r="C686" s="2" t="s">
        <v>67</v>
      </c>
      <c r="D686" s="5">
        <v>366.39</v>
      </c>
      <c r="E686" s="5">
        <v>4.0</v>
      </c>
      <c r="F686" s="6">
        <v>1465.56</v>
      </c>
      <c r="G686" s="2" t="s">
        <v>2138</v>
      </c>
      <c r="H686" s="2" t="s">
        <v>2139</v>
      </c>
      <c r="I686" s="2" t="s">
        <v>2140</v>
      </c>
    </row>
    <row r="687" ht="15.75" customHeight="1">
      <c r="A687" s="1">
        <v>45650.0</v>
      </c>
      <c r="B687" s="2" t="s">
        <v>14</v>
      </c>
      <c r="C687" s="2" t="s">
        <v>50</v>
      </c>
      <c r="D687" s="5">
        <v>306.11</v>
      </c>
      <c r="E687" s="5">
        <v>2.0</v>
      </c>
      <c r="F687" s="6">
        <v>612.22</v>
      </c>
      <c r="G687" s="2" t="s">
        <v>2141</v>
      </c>
      <c r="H687" s="2" t="s">
        <v>2142</v>
      </c>
      <c r="I687" s="2" t="s">
        <v>2143</v>
      </c>
    </row>
    <row r="688" ht="15.75" customHeight="1">
      <c r="A688" s="1">
        <v>45650.0</v>
      </c>
      <c r="B688" s="3" t="s">
        <v>30</v>
      </c>
      <c r="C688" s="2" t="s">
        <v>121</v>
      </c>
      <c r="D688" s="5">
        <v>988.44</v>
      </c>
      <c r="E688" s="5">
        <v>2.0</v>
      </c>
      <c r="F688" s="6">
        <v>1976.88</v>
      </c>
      <c r="G688" s="2" t="s">
        <v>2144</v>
      </c>
      <c r="H688" s="2" t="s">
        <v>2145</v>
      </c>
      <c r="I688" s="2" t="s">
        <v>2146</v>
      </c>
    </row>
    <row r="689" ht="15.75" customHeight="1">
      <c r="A689" s="1">
        <v>45650.0</v>
      </c>
      <c r="B689" s="2" t="s">
        <v>14</v>
      </c>
      <c r="C689" s="2" t="s">
        <v>282</v>
      </c>
      <c r="D689" s="5">
        <v>2003.92</v>
      </c>
      <c r="E689" s="5">
        <v>2.0</v>
      </c>
      <c r="F689" s="6">
        <v>4007.84</v>
      </c>
      <c r="G689" s="2" t="s">
        <v>2147</v>
      </c>
      <c r="H689" s="2" t="s">
        <v>2148</v>
      </c>
      <c r="I689" s="2" t="s">
        <v>2149</v>
      </c>
    </row>
    <row r="690" ht="15.75" customHeight="1">
      <c r="A690" s="1">
        <v>45650.0</v>
      </c>
      <c r="B690" s="2" t="s">
        <v>35</v>
      </c>
      <c r="C690" s="2" t="s">
        <v>121</v>
      </c>
      <c r="D690" s="5">
        <v>519.68</v>
      </c>
      <c r="E690" s="5">
        <v>5.0</v>
      </c>
      <c r="F690" s="6">
        <v>2598.4</v>
      </c>
      <c r="G690" s="2" t="s">
        <v>2150</v>
      </c>
      <c r="H690" s="2" t="s">
        <v>2151</v>
      </c>
      <c r="I690" s="2" t="s">
        <v>2152</v>
      </c>
    </row>
    <row r="691" ht="15.75" customHeight="1">
      <c r="A691" s="1">
        <v>45650.0</v>
      </c>
      <c r="B691" s="2" t="s">
        <v>35</v>
      </c>
      <c r="C691" s="2" t="s">
        <v>117</v>
      </c>
      <c r="D691" s="5">
        <v>920.71</v>
      </c>
      <c r="E691" s="5">
        <v>4.0</v>
      </c>
      <c r="F691" s="6">
        <v>3682.84</v>
      </c>
      <c r="G691" s="2" t="s">
        <v>2153</v>
      </c>
      <c r="H691" s="2" t="s">
        <v>2154</v>
      </c>
      <c r="I691" s="2" t="s">
        <v>2155</v>
      </c>
    </row>
    <row r="692" ht="15.75" customHeight="1">
      <c r="A692" s="1">
        <v>45650.0</v>
      </c>
      <c r="B692" s="3" t="s">
        <v>30</v>
      </c>
      <c r="C692" s="2" t="s">
        <v>85</v>
      </c>
      <c r="D692" s="5">
        <v>1089.03</v>
      </c>
      <c r="E692" s="5">
        <v>5.0</v>
      </c>
      <c r="F692" s="6">
        <v>5445.15</v>
      </c>
      <c r="G692" s="2" t="s">
        <v>2156</v>
      </c>
      <c r="H692" s="2" t="s">
        <v>2157</v>
      </c>
      <c r="I692" s="2" t="s">
        <v>2158</v>
      </c>
    </row>
    <row r="693" ht="15.75" customHeight="1">
      <c r="A693" s="1">
        <v>45650.0</v>
      </c>
      <c r="B693" s="2" t="s">
        <v>35</v>
      </c>
      <c r="C693" s="2" t="s">
        <v>233</v>
      </c>
      <c r="D693" s="5">
        <v>500.74</v>
      </c>
      <c r="E693" s="5">
        <v>4.0</v>
      </c>
      <c r="F693" s="6">
        <v>2002.96</v>
      </c>
      <c r="G693" s="2" t="s">
        <v>2159</v>
      </c>
      <c r="H693" s="2" t="s">
        <v>2160</v>
      </c>
      <c r="I693" s="2" t="s">
        <v>2161</v>
      </c>
    </row>
    <row r="694" ht="15.75" customHeight="1">
      <c r="A694" s="1">
        <v>45651.0</v>
      </c>
      <c r="B694" s="2" t="s">
        <v>9</v>
      </c>
      <c r="C694" s="2" t="s">
        <v>163</v>
      </c>
      <c r="D694" s="5">
        <v>1047.88</v>
      </c>
      <c r="E694" s="5">
        <v>3.0</v>
      </c>
      <c r="F694" s="6">
        <v>3143.64</v>
      </c>
      <c r="G694" s="2" t="s">
        <v>2162</v>
      </c>
      <c r="H694" s="2" t="s">
        <v>2163</v>
      </c>
      <c r="I694" s="2" t="s">
        <v>2164</v>
      </c>
    </row>
    <row r="695" ht="15.75" customHeight="1">
      <c r="A695" s="1">
        <v>45651.0</v>
      </c>
      <c r="B695" s="2" t="s">
        <v>75</v>
      </c>
      <c r="C695" s="2" t="s">
        <v>139</v>
      </c>
      <c r="D695" s="5">
        <v>228.56</v>
      </c>
      <c r="E695" s="5">
        <v>3.0</v>
      </c>
      <c r="F695" s="6">
        <v>685.68</v>
      </c>
      <c r="G695" s="2" t="s">
        <v>2165</v>
      </c>
      <c r="H695" s="2" t="s">
        <v>2166</v>
      </c>
      <c r="I695" s="2" t="s">
        <v>2167</v>
      </c>
    </row>
    <row r="696" ht="15.75" customHeight="1">
      <c r="A696" s="1">
        <v>45651.0</v>
      </c>
      <c r="B696" s="2" t="s">
        <v>75</v>
      </c>
      <c r="C696" s="2" t="s">
        <v>319</v>
      </c>
      <c r="D696" s="5">
        <v>1068.29</v>
      </c>
      <c r="E696" s="5">
        <v>4.0</v>
      </c>
      <c r="F696" s="6">
        <v>4273.16</v>
      </c>
      <c r="G696" s="2" t="s">
        <v>2168</v>
      </c>
      <c r="H696" s="2" t="s">
        <v>2169</v>
      </c>
      <c r="I696" s="2" t="s">
        <v>2170</v>
      </c>
    </row>
    <row r="697" ht="15.75" customHeight="1">
      <c r="A697" s="1">
        <v>45651.0</v>
      </c>
      <c r="B697" s="2" t="s">
        <v>9</v>
      </c>
      <c r="C697" s="2" t="s">
        <v>399</v>
      </c>
      <c r="D697" s="5">
        <v>173.94</v>
      </c>
      <c r="E697" s="5">
        <v>5.0</v>
      </c>
      <c r="F697" s="6">
        <v>869.7</v>
      </c>
      <c r="G697" s="2" t="s">
        <v>2171</v>
      </c>
      <c r="H697" s="2" t="s">
        <v>2172</v>
      </c>
      <c r="I697" s="2" t="s">
        <v>2173</v>
      </c>
    </row>
    <row r="698" ht="15.75" customHeight="1">
      <c r="A698" s="1">
        <v>45651.0</v>
      </c>
      <c r="B698" s="2" t="s">
        <v>14</v>
      </c>
      <c r="C698" s="2" t="s">
        <v>171</v>
      </c>
      <c r="D698" s="5">
        <v>2271.98</v>
      </c>
      <c r="E698" s="5">
        <v>5.0</v>
      </c>
      <c r="F698" s="6">
        <v>11359.9</v>
      </c>
      <c r="G698" s="2" t="s">
        <v>2174</v>
      </c>
      <c r="H698" s="2" t="s">
        <v>2175</v>
      </c>
      <c r="I698" s="2" t="s">
        <v>2176</v>
      </c>
    </row>
    <row r="699" ht="15.75" customHeight="1">
      <c r="A699" s="1">
        <v>45651.0</v>
      </c>
      <c r="B699" s="2" t="s">
        <v>75</v>
      </c>
      <c r="C699" s="2" t="s">
        <v>121</v>
      </c>
      <c r="D699" s="5">
        <v>2461.45</v>
      </c>
      <c r="E699" s="5">
        <v>4.0</v>
      </c>
      <c r="F699" s="6">
        <v>9845.8</v>
      </c>
      <c r="G699" s="2" t="s">
        <v>2177</v>
      </c>
      <c r="H699" s="2" t="s">
        <v>2178</v>
      </c>
      <c r="I699" s="2" t="s">
        <v>2179</v>
      </c>
    </row>
    <row r="700" ht="15.75" customHeight="1">
      <c r="A700" s="1">
        <v>45651.0</v>
      </c>
      <c r="B700" s="2" t="s">
        <v>75</v>
      </c>
      <c r="C700" s="2" t="s">
        <v>94</v>
      </c>
      <c r="D700" s="5">
        <v>848.42</v>
      </c>
      <c r="E700" s="5">
        <v>3.0</v>
      </c>
      <c r="F700" s="6">
        <v>2545.26</v>
      </c>
      <c r="G700" s="2" t="s">
        <v>2180</v>
      </c>
      <c r="H700" s="2" t="s">
        <v>2181</v>
      </c>
      <c r="I700" s="7" t="s">
        <v>2182</v>
      </c>
    </row>
    <row r="701" ht="15.75" customHeight="1">
      <c r="A701" s="1">
        <v>45651.0</v>
      </c>
      <c r="B701" s="2" t="s">
        <v>9</v>
      </c>
      <c r="C701" s="2" t="s">
        <v>430</v>
      </c>
      <c r="D701" s="5">
        <v>2334.37</v>
      </c>
      <c r="E701" s="5">
        <v>1.0</v>
      </c>
      <c r="F701" s="6">
        <v>2334.37</v>
      </c>
      <c r="G701" s="2" t="s">
        <v>2183</v>
      </c>
      <c r="H701" s="2" t="s">
        <v>2184</v>
      </c>
      <c r="I701" s="2" t="s">
        <v>2185</v>
      </c>
    </row>
    <row r="702" ht="15.75" customHeight="1">
      <c r="A702" s="1">
        <v>45651.0</v>
      </c>
      <c r="B702" s="2" t="s">
        <v>75</v>
      </c>
      <c r="C702" s="2" t="s">
        <v>233</v>
      </c>
      <c r="D702" s="5">
        <v>648.35</v>
      </c>
      <c r="E702" s="5">
        <v>5.0</v>
      </c>
      <c r="F702" s="6">
        <v>3241.75</v>
      </c>
      <c r="G702" s="2" t="s">
        <v>2186</v>
      </c>
      <c r="H702" s="2" t="s">
        <v>2187</v>
      </c>
      <c r="I702" s="2" t="s">
        <v>2188</v>
      </c>
    </row>
    <row r="703" ht="15.75" customHeight="1">
      <c r="A703" s="1">
        <v>45652.0</v>
      </c>
      <c r="B703" s="2" t="s">
        <v>75</v>
      </c>
      <c r="C703" s="2" t="s">
        <v>186</v>
      </c>
      <c r="D703" s="5">
        <v>1794.09</v>
      </c>
      <c r="E703" s="5">
        <v>5.0</v>
      </c>
      <c r="F703" s="6">
        <v>8970.45</v>
      </c>
      <c r="G703" s="2" t="s">
        <v>2189</v>
      </c>
      <c r="H703" s="2" t="s">
        <v>2190</v>
      </c>
      <c r="I703" s="2" t="s">
        <v>2191</v>
      </c>
    </row>
    <row r="704" ht="15.75" customHeight="1">
      <c r="A704" s="1">
        <v>45652.0</v>
      </c>
      <c r="B704" s="3" t="s">
        <v>30</v>
      </c>
      <c r="C704" s="2" t="s">
        <v>23</v>
      </c>
      <c r="D704" s="5">
        <v>658.24</v>
      </c>
      <c r="E704" s="5">
        <v>3.0</v>
      </c>
      <c r="F704" s="6">
        <v>1974.72</v>
      </c>
      <c r="G704" s="2" t="s">
        <v>2192</v>
      </c>
      <c r="H704" s="2" t="s">
        <v>2193</v>
      </c>
      <c r="I704" s="2" t="s">
        <v>2194</v>
      </c>
    </row>
    <row r="705" ht="15.75" customHeight="1">
      <c r="A705" s="1">
        <v>45652.0</v>
      </c>
      <c r="B705" s="2" t="s">
        <v>58</v>
      </c>
      <c r="C705" s="2" t="s">
        <v>76</v>
      </c>
      <c r="D705" s="5">
        <v>824.79</v>
      </c>
      <c r="E705" s="5">
        <v>4.0</v>
      </c>
      <c r="F705" s="6">
        <v>3299.16</v>
      </c>
      <c r="G705" s="2" t="s">
        <v>2195</v>
      </c>
      <c r="H705" s="2" t="s">
        <v>2196</v>
      </c>
      <c r="I705" s="2" t="s">
        <v>2197</v>
      </c>
    </row>
    <row r="706" ht="15.75" customHeight="1">
      <c r="A706" s="1">
        <v>45652.0</v>
      </c>
      <c r="B706" s="2" t="s">
        <v>35</v>
      </c>
      <c r="C706" s="2" t="s">
        <v>389</v>
      </c>
      <c r="D706" s="5">
        <v>1056.48</v>
      </c>
      <c r="E706" s="5">
        <v>4.0</v>
      </c>
      <c r="F706" s="6">
        <v>4225.92</v>
      </c>
      <c r="G706" s="2" t="s">
        <v>2198</v>
      </c>
      <c r="H706" s="2" t="s">
        <v>2199</v>
      </c>
      <c r="I706" s="2" t="s">
        <v>2200</v>
      </c>
    </row>
    <row r="707" ht="15.75" customHeight="1">
      <c r="A707" s="1">
        <v>45652.0</v>
      </c>
      <c r="B707" s="2" t="s">
        <v>9</v>
      </c>
      <c r="C707" s="2" t="s">
        <v>373</v>
      </c>
      <c r="D707" s="5">
        <v>932.02</v>
      </c>
      <c r="E707" s="5">
        <v>4.0</v>
      </c>
      <c r="F707" s="6">
        <v>3728.08</v>
      </c>
      <c r="G707" s="2" t="s">
        <v>2201</v>
      </c>
      <c r="H707" s="2" t="s">
        <v>2202</v>
      </c>
      <c r="I707" s="2" t="s">
        <v>2203</v>
      </c>
    </row>
    <row r="708" ht="15.75" customHeight="1">
      <c r="A708" s="1">
        <v>45652.0</v>
      </c>
      <c r="B708" s="2" t="s">
        <v>58</v>
      </c>
      <c r="C708" s="2" t="s">
        <v>344</v>
      </c>
      <c r="D708" s="5">
        <v>2140.33</v>
      </c>
      <c r="E708" s="5">
        <v>5.0</v>
      </c>
      <c r="F708" s="6">
        <v>10701.65</v>
      </c>
      <c r="G708" s="2" t="s">
        <v>2204</v>
      </c>
      <c r="H708" s="2" t="s">
        <v>2205</v>
      </c>
      <c r="I708" s="2" t="s">
        <v>2206</v>
      </c>
    </row>
    <row r="709" ht="15.75" customHeight="1">
      <c r="A709" s="1">
        <v>45652.0</v>
      </c>
      <c r="B709" s="2" t="s">
        <v>75</v>
      </c>
      <c r="C709" s="2" t="s">
        <v>40</v>
      </c>
      <c r="D709" s="5">
        <v>554.25</v>
      </c>
      <c r="E709" s="5">
        <v>1.0</v>
      </c>
      <c r="F709" s="6">
        <v>554.25</v>
      </c>
      <c r="G709" s="2" t="s">
        <v>2207</v>
      </c>
      <c r="H709" s="2" t="s">
        <v>2208</v>
      </c>
      <c r="I709" s="2" t="s">
        <v>2209</v>
      </c>
    </row>
    <row r="710" ht="15.75" customHeight="1">
      <c r="A710" s="1">
        <v>45652.0</v>
      </c>
      <c r="B710" s="2" t="s">
        <v>58</v>
      </c>
      <c r="C710" s="2" t="s">
        <v>373</v>
      </c>
      <c r="D710" s="5">
        <v>173.36</v>
      </c>
      <c r="E710" s="5">
        <v>2.0</v>
      </c>
      <c r="F710" s="6">
        <v>346.72</v>
      </c>
      <c r="G710" s="2" t="s">
        <v>2210</v>
      </c>
      <c r="H710" s="2" t="s">
        <v>2211</v>
      </c>
      <c r="I710" s="2" t="s">
        <v>2212</v>
      </c>
    </row>
    <row r="711" ht="15.75" customHeight="1">
      <c r="A711" s="1">
        <v>45653.0</v>
      </c>
      <c r="B711" s="3" t="s">
        <v>30</v>
      </c>
      <c r="C711" s="2" t="s">
        <v>10</v>
      </c>
      <c r="D711" s="5">
        <v>1935.15</v>
      </c>
      <c r="E711" s="5">
        <v>3.0</v>
      </c>
      <c r="F711" s="6">
        <v>5805.45</v>
      </c>
      <c r="G711" s="2" t="s">
        <v>2213</v>
      </c>
      <c r="H711" s="2" t="s">
        <v>2214</v>
      </c>
      <c r="I711" s="2" t="s">
        <v>2215</v>
      </c>
    </row>
    <row r="712" ht="15.75" customHeight="1">
      <c r="A712" s="1">
        <v>45653.0</v>
      </c>
      <c r="B712" s="2" t="s">
        <v>75</v>
      </c>
      <c r="C712" s="2" t="s">
        <v>430</v>
      </c>
      <c r="D712" s="5">
        <v>1923.56</v>
      </c>
      <c r="E712" s="5">
        <v>4.0</v>
      </c>
      <c r="F712" s="6">
        <v>7694.24</v>
      </c>
      <c r="G712" s="2" t="s">
        <v>2216</v>
      </c>
      <c r="H712" s="2" t="s">
        <v>2217</v>
      </c>
      <c r="I712" s="2" t="s">
        <v>2218</v>
      </c>
    </row>
    <row r="713" ht="15.75" customHeight="1">
      <c r="A713" s="1">
        <v>45653.0</v>
      </c>
      <c r="B713" s="2" t="s">
        <v>75</v>
      </c>
      <c r="C713" s="2" t="s">
        <v>389</v>
      </c>
      <c r="D713" s="5">
        <v>2263.78</v>
      </c>
      <c r="E713" s="5">
        <v>5.0</v>
      </c>
      <c r="F713" s="6">
        <v>11318.9</v>
      </c>
      <c r="G713" s="2" t="s">
        <v>2219</v>
      </c>
      <c r="H713" s="2" t="s">
        <v>2220</v>
      </c>
      <c r="I713" s="2" t="s">
        <v>2221</v>
      </c>
    </row>
    <row r="714" ht="15.75" customHeight="1">
      <c r="A714" s="1">
        <v>45653.0</v>
      </c>
      <c r="B714" s="2" t="s">
        <v>14</v>
      </c>
      <c r="C714" s="2" t="s">
        <v>54</v>
      </c>
      <c r="D714" s="5">
        <v>1831.56</v>
      </c>
      <c r="E714" s="5">
        <v>2.0</v>
      </c>
      <c r="F714" s="6">
        <v>3663.12</v>
      </c>
      <c r="G714" s="2" t="s">
        <v>2222</v>
      </c>
      <c r="H714" s="2" t="s">
        <v>2223</v>
      </c>
      <c r="I714" s="2" t="s">
        <v>2224</v>
      </c>
    </row>
    <row r="715" ht="15.75" customHeight="1">
      <c r="A715" s="1">
        <v>45653.0</v>
      </c>
      <c r="B715" s="2" t="s">
        <v>58</v>
      </c>
      <c r="C715" s="2" t="s">
        <v>666</v>
      </c>
      <c r="D715" s="5">
        <v>1191.71</v>
      </c>
      <c r="E715" s="5">
        <v>4.0</v>
      </c>
      <c r="F715" s="6">
        <v>4766.84</v>
      </c>
      <c r="G715" s="2" t="s">
        <v>2225</v>
      </c>
      <c r="H715" s="2" t="s">
        <v>2226</v>
      </c>
      <c r="I715" s="2" t="s">
        <v>2227</v>
      </c>
    </row>
    <row r="716" ht="15.75" customHeight="1">
      <c r="A716" s="1">
        <v>45653.0</v>
      </c>
      <c r="B716" s="2" t="s">
        <v>9</v>
      </c>
      <c r="C716" s="2" t="s">
        <v>81</v>
      </c>
      <c r="D716" s="5">
        <v>314.84</v>
      </c>
      <c r="E716" s="5">
        <v>1.0</v>
      </c>
      <c r="F716" s="6">
        <v>314.84</v>
      </c>
      <c r="G716" s="2" t="s">
        <v>2228</v>
      </c>
      <c r="H716" s="2" t="s">
        <v>2229</v>
      </c>
      <c r="I716" s="7" t="s">
        <v>2230</v>
      </c>
    </row>
    <row r="717" ht="15.75" customHeight="1">
      <c r="A717" s="1">
        <v>45654.0</v>
      </c>
      <c r="B717" s="2" t="s">
        <v>9</v>
      </c>
      <c r="C717" s="2" t="s">
        <v>71</v>
      </c>
      <c r="D717" s="5">
        <v>1724.31</v>
      </c>
      <c r="E717" s="5">
        <v>2.0</v>
      </c>
      <c r="F717" s="6">
        <v>3448.62</v>
      </c>
      <c r="G717" s="2" t="s">
        <v>2231</v>
      </c>
      <c r="H717" s="2" t="s">
        <v>2232</v>
      </c>
      <c r="I717" s="2" t="s">
        <v>2233</v>
      </c>
    </row>
    <row r="718" ht="15.75" customHeight="1">
      <c r="A718" s="1">
        <v>45654.0</v>
      </c>
      <c r="B718" s="2" t="s">
        <v>9</v>
      </c>
      <c r="C718" s="2" t="s">
        <v>63</v>
      </c>
      <c r="D718" s="5">
        <v>372.92</v>
      </c>
      <c r="E718" s="5">
        <v>3.0</v>
      </c>
      <c r="F718" s="6">
        <v>1118.76</v>
      </c>
      <c r="G718" s="2" t="s">
        <v>2234</v>
      </c>
      <c r="H718" s="2" t="s">
        <v>2235</v>
      </c>
      <c r="I718" s="2" t="s">
        <v>2236</v>
      </c>
    </row>
    <row r="719" ht="15.75" customHeight="1">
      <c r="A719" s="1">
        <v>45654.0</v>
      </c>
      <c r="B719" s="2" t="s">
        <v>9</v>
      </c>
      <c r="C719" s="2" t="s">
        <v>139</v>
      </c>
      <c r="D719" s="5">
        <v>589.92</v>
      </c>
      <c r="E719" s="5">
        <v>3.0</v>
      </c>
      <c r="F719" s="6">
        <v>1769.76</v>
      </c>
      <c r="G719" s="2" t="s">
        <v>2237</v>
      </c>
      <c r="H719" s="2" t="s">
        <v>2238</v>
      </c>
      <c r="I719" s="2" t="s">
        <v>2239</v>
      </c>
    </row>
    <row r="720" ht="15.75" customHeight="1">
      <c r="A720" s="1">
        <v>45654.0</v>
      </c>
      <c r="B720" s="2" t="s">
        <v>75</v>
      </c>
      <c r="C720" s="2" t="s">
        <v>163</v>
      </c>
      <c r="D720" s="5">
        <v>702.77</v>
      </c>
      <c r="E720" s="5">
        <v>3.0</v>
      </c>
      <c r="F720" s="6">
        <v>2108.31</v>
      </c>
      <c r="G720" s="2" t="s">
        <v>2240</v>
      </c>
      <c r="H720" s="2" t="s">
        <v>2241</v>
      </c>
      <c r="I720" s="2" t="s">
        <v>2242</v>
      </c>
    </row>
    <row r="721" ht="15.75" customHeight="1">
      <c r="A721" s="1">
        <v>45654.0</v>
      </c>
      <c r="B721" s="3" t="s">
        <v>30</v>
      </c>
      <c r="C721" s="2" t="s">
        <v>54</v>
      </c>
      <c r="D721" s="5">
        <v>2261.12</v>
      </c>
      <c r="E721" s="5">
        <v>4.0</v>
      </c>
      <c r="F721" s="6">
        <v>9044.48</v>
      </c>
      <c r="G721" s="2" t="s">
        <v>2243</v>
      </c>
      <c r="H721" s="2" t="s">
        <v>2244</v>
      </c>
      <c r="I721" s="2" t="s">
        <v>2245</v>
      </c>
    </row>
    <row r="722" ht="15.75" customHeight="1">
      <c r="A722" s="1">
        <v>45654.0</v>
      </c>
      <c r="B722" s="2" t="s">
        <v>9</v>
      </c>
      <c r="C722" s="2" t="s">
        <v>139</v>
      </c>
      <c r="D722" s="5">
        <v>1577.5</v>
      </c>
      <c r="E722" s="5">
        <v>4.0</v>
      </c>
      <c r="F722" s="6">
        <v>6310.0</v>
      </c>
      <c r="G722" s="2" t="s">
        <v>2246</v>
      </c>
      <c r="H722" s="2" t="s">
        <v>2247</v>
      </c>
      <c r="I722" s="2" t="s">
        <v>2248</v>
      </c>
    </row>
    <row r="723" ht="15.75" customHeight="1">
      <c r="A723" s="1">
        <v>45654.0</v>
      </c>
      <c r="B723" s="2" t="s">
        <v>35</v>
      </c>
      <c r="C723" s="2" t="s">
        <v>171</v>
      </c>
      <c r="D723" s="5">
        <v>211.08</v>
      </c>
      <c r="E723" s="5">
        <v>4.0</v>
      </c>
      <c r="F723" s="6">
        <v>844.32</v>
      </c>
      <c r="G723" s="2" t="s">
        <v>2249</v>
      </c>
      <c r="H723" s="2" t="s">
        <v>2250</v>
      </c>
      <c r="I723" s="2" t="s">
        <v>2251</v>
      </c>
    </row>
    <row r="724" ht="15.75" customHeight="1">
      <c r="A724" s="1">
        <v>45654.0</v>
      </c>
      <c r="B724" s="3" t="s">
        <v>30</v>
      </c>
      <c r="C724" s="2" t="s">
        <v>311</v>
      </c>
      <c r="D724" s="5">
        <v>1061.9</v>
      </c>
      <c r="E724" s="5">
        <v>4.0</v>
      </c>
      <c r="F724" s="6">
        <v>4247.6</v>
      </c>
      <c r="G724" s="2" t="s">
        <v>2252</v>
      </c>
      <c r="H724" s="2" t="s">
        <v>2253</v>
      </c>
      <c r="I724" s="2" t="s">
        <v>2254</v>
      </c>
    </row>
    <row r="725" ht="15.75" customHeight="1">
      <c r="A725" s="1">
        <v>45654.0</v>
      </c>
      <c r="B725" s="3" t="s">
        <v>30</v>
      </c>
      <c r="C725" s="2" t="s">
        <v>50</v>
      </c>
      <c r="D725" s="5">
        <v>1152.78</v>
      </c>
      <c r="E725" s="5">
        <v>4.0</v>
      </c>
      <c r="F725" s="6">
        <v>4611.12</v>
      </c>
      <c r="G725" s="2" t="s">
        <v>2255</v>
      </c>
      <c r="H725" s="2" t="s">
        <v>2256</v>
      </c>
      <c r="I725" s="2" t="s">
        <v>2257</v>
      </c>
    </row>
    <row r="726" ht="15.75" customHeight="1">
      <c r="A726" s="1">
        <v>45654.0</v>
      </c>
      <c r="B726" s="2" t="s">
        <v>14</v>
      </c>
      <c r="C726" s="2" t="s">
        <v>315</v>
      </c>
      <c r="D726" s="5">
        <v>1793.94</v>
      </c>
      <c r="E726" s="5">
        <v>3.0</v>
      </c>
      <c r="F726" s="6">
        <v>5381.82</v>
      </c>
      <c r="G726" s="2" t="s">
        <v>2258</v>
      </c>
      <c r="H726" s="2" t="s">
        <v>2259</v>
      </c>
      <c r="I726" s="2" t="s">
        <v>2260</v>
      </c>
    </row>
    <row r="727" ht="15.75" customHeight="1">
      <c r="A727" s="1">
        <v>45654.0</v>
      </c>
      <c r="B727" s="2" t="s">
        <v>58</v>
      </c>
      <c r="C727" s="2" t="s">
        <v>94</v>
      </c>
      <c r="D727" s="5">
        <v>2144.75</v>
      </c>
      <c r="E727" s="5">
        <v>1.0</v>
      </c>
      <c r="F727" s="6">
        <v>2144.75</v>
      </c>
      <c r="G727" s="2" t="s">
        <v>2261</v>
      </c>
      <c r="H727" s="2" t="s">
        <v>2262</v>
      </c>
      <c r="I727" s="2" t="s">
        <v>2263</v>
      </c>
    </row>
    <row r="728" ht="15.75" customHeight="1">
      <c r="A728" s="1">
        <v>45654.0</v>
      </c>
      <c r="B728" s="2" t="s">
        <v>14</v>
      </c>
      <c r="C728" s="2" t="s">
        <v>292</v>
      </c>
      <c r="D728" s="5">
        <v>1642.37</v>
      </c>
      <c r="E728" s="5">
        <v>3.0</v>
      </c>
      <c r="F728" s="6">
        <v>4927.11</v>
      </c>
      <c r="G728" s="2" t="s">
        <v>2264</v>
      </c>
      <c r="H728" s="2" t="s">
        <v>2265</v>
      </c>
      <c r="I728" s="2" t="s">
        <v>2266</v>
      </c>
    </row>
    <row r="729" ht="15.75" customHeight="1">
      <c r="A729" s="1">
        <v>45654.0</v>
      </c>
      <c r="B729" s="3" t="s">
        <v>30</v>
      </c>
      <c r="C729" s="2" t="s">
        <v>319</v>
      </c>
      <c r="D729" s="5">
        <v>158.82</v>
      </c>
      <c r="E729" s="5">
        <v>2.0</v>
      </c>
      <c r="F729" s="6">
        <v>317.64</v>
      </c>
      <c r="G729" s="2" t="s">
        <v>2267</v>
      </c>
      <c r="H729" s="2" t="s">
        <v>2268</v>
      </c>
      <c r="I729" s="2" t="s">
        <v>2269</v>
      </c>
    </row>
    <row r="730" ht="15.75" customHeight="1">
      <c r="A730" s="1">
        <v>45654.0</v>
      </c>
      <c r="B730" s="2" t="s">
        <v>58</v>
      </c>
      <c r="C730" s="2" t="s">
        <v>167</v>
      </c>
      <c r="D730" s="5">
        <v>1088.66</v>
      </c>
      <c r="E730" s="5">
        <v>4.0</v>
      </c>
      <c r="F730" s="6">
        <v>4354.64</v>
      </c>
      <c r="G730" s="2" t="s">
        <v>2270</v>
      </c>
      <c r="H730" s="2" t="s">
        <v>2271</v>
      </c>
      <c r="I730" s="2" t="s">
        <v>2272</v>
      </c>
    </row>
    <row r="731" ht="15.75" customHeight="1">
      <c r="A731" s="1">
        <v>45655.0</v>
      </c>
      <c r="B731" s="2" t="s">
        <v>9</v>
      </c>
      <c r="C731" s="2" t="s">
        <v>67</v>
      </c>
      <c r="D731" s="5">
        <v>1456.46</v>
      </c>
      <c r="E731" s="5">
        <v>4.0</v>
      </c>
      <c r="F731" s="6">
        <v>5825.84</v>
      </c>
      <c r="G731" s="2" t="s">
        <v>2273</v>
      </c>
      <c r="H731" s="2" t="s">
        <v>2274</v>
      </c>
      <c r="I731" s="2" t="s">
        <v>2275</v>
      </c>
    </row>
    <row r="732" ht="15.75" customHeight="1">
      <c r="A732" s="1">
        <v>45655.0</v>
      </c>
      <c r="B732" s="2" t="s">
        <v>58</v>
      </c>
      <c r="C732" s="2" t="s">
        <v>81</v>
      </c>
      <c r="D732" s="5">
        <v>2209.08</v>
      </c>
      <c r="E732" s="5">
        <v>2.0</v>
      </c>
      <c r="F732" s="6">
        <v>4418.16</v>
      </c>
      <c r="G732" s="2" t="s">
        <v>2276</v>
      </c>
      <c r="H732" s="2" t="s">
        <v>2277</v>
      </c>
      <c r="I732" s="7" t="s">
        <v>2278</v>
      </c>
    </row>
    <row r="733" ht="15.75" customHeight="1">
      <c r="A733" s="1">
        <v>45655.0</v>
      </c>
      <c r="B733" s="2" t="s">
        <v>14</v>
      </c>
      <c r="C733" s="2" t="s">
        <v>171</v>
      </c>
      <c r="D733" s="5">
        <v>401.92</v>
      </c>
      <c r="E733" s="5">
        <v>3.0</v>
      </c>
      <c r="F733" s="6">
        <v>1205.76</v>
      </c>
      <c r="G733" s="2" t="s">
        <v>2279</v>
      </c>
      <c r="H733" s="2" t="s">
        <v>2280</v>
      </c>
      <c r="I733" s="2" t="s">
        <v>2281</v>
      </c>
    </row>
    <row r="734" ht="15.75" customHeight="1">
      <c r="A734" s="1">
        <v>45655.0</v>
      </c>
      <c r="B734" s="2" t="s">
        <v>14</v>
      </c>
      <c r="C734" s="2" t="s">
        <v>125</v>
      </c>
      <c r="D734" s="5">
        <v>989.79</v>
      </c>
      <c r="E734" s="5">
        <v>5.0</v>
      </c>
      <c r="F734" s="6">
        <v>4948.95</v>
      </c>
      <c r="G734" s="2" t="s">
        <v>2282</v>
      </c>
      <c r="H734" s="2" t="s">
        <v>2283</v>
      </c>
      <c r="I734" s="2" t="s">
        <v>2284</v>
      </c>
    </row>
    <row r="735" ht="15.75" customHeight="1">
      <c r="A735" s="1">
        <v>45655.0</v>
      </c>
      <c r="B735" s="2" t="s">
        <v>14</v>
      </c>
      <c r="C735" s="2" t="s">
        <v>430</v>
      </c>
      <c r="D735" s="5">
        <v>173.98</v>
      </c>
      <c r="E735" s="5">
        <v>4.0</v>
      </c>
      <c r="F735" s="6">
        <v>695.92</v>
      </c>
      <c r="G735" s="2" t="s">
        <v>2285</v>
      </c>
      <c r="H735" s="2" t="s">
        <v>2286</v>
      </c>
      <c r="I735" s="2" t="s">
        <v>2287</v>
      </c>
    </row>
    <row r="736" ht="15.75" customHeight="1">
      <c r="A736" s="1">
        <v>45655.0</v>
      </c>
      <c r="B736" s="2" t="s">
        <v>58</v>
      </c>
      <c r="C736" s="2" t="s">
        <v>63</v>
      </c>
      <c r="D736" s="5">
        <v>1006.61</v>
      </c>
      <c r="E736" s="5">
        <v>4.0</v>
      </c>
      <c r="F736" s="6">
        <v>4026.44</v>
      </c>
      <c r="G736" s="2" t="s">
        <v>2288</v>
      </c>
      <c r="H736" s="2" t="s">
        <v>2289</v>
      </c>
      <c r="I736" s="2" t="s">
        <v>2290</v>
      </c>
    </row>
    <row r="737" ht="15.75" customHeight="1">
      <c r="A737" s="1">
        <v>45655.0</v>
      </c>
      <c r="B737" s="3" t="s">
        <v>30</v>
      </c>
      <c r="C737" s="2" t="s">
        <v>373</v>
      </c>
      <c r="D737" s="5">
        <v>2068.09</v>
      </c>
      <c r="E737" s="5">
        <v>2.0</v>
      </c>
      <c r="F737" s="6">
        <v>4136.18</v>
      </c>
      <c r="G737" s="2" t="s">
        <v>2291</v>
      </c>
      <c r="H737" s="2" t="s">
        <v>2292</v>
      </c>
      <c r="I737" s="2" t="s">
        <v>2293</v>
      </c>
    </row>
    <row r="738" ht="15.75" customHeight="1">
      <c r="A738" s="1">
        <v>45655.0</v>
      </c>
      <c r="B738" s="3" t="s">
        <v>30</v>
      </c>
      <c r="C738" s="2" t="s">
        <v>255</v>
      </c>
      <c r="D738" s="5">
        <v>732.27</v>
      </c>
      <c r="E738" s="5">
        <v>4.0</v>
      </c>
      <c r="F738" s="6">
        <v>2929.08</v>
      </c>
      <c r="G738" s="2" t="s">
        <v>2294</v>
      </c>
      <c r="H738" s="2" t="s">
        <v>2295</v>
      </c>
      <c r="I738" s="2" t="s">
        <v>2296</v>
      </c>
    </row>
    <row r="739" ht="15.75" customHeight="1">
      <c r="A739" s="1">
        <v>45655.0</v>
      </c>
      <c r="B739" s="2" t="s">
        <v>9</v>
      </c>
      <c r="C739" s="2" t="s">
        <v>163</v>
      </c>
      <c r="D739" s="5">
        <v>620.05</v>
      </c>
      <c r="E739" s="5">
        <v>5.0</v>
      </c>
      <c r="F739" s="6">
        <v>3100.25</v>
      </c>
      <c r="G739" s="2" t="s">
        <v>2297</v>
      </c>
      <c r="H739" s="2" t="s">
        <v>2298</v>
      </c>
      <c r="I739" s="2" t="s">
        <v>2299</v>
      </c>
    </row>
    <row r="740" ht="15.75" customHeight="1">
      <c r="A740" s="1">
        <v>45655.0</v>
      </c>
      <c r="B740" s="2" t="s">
        <v>75</v>
      </c>
      <c r="C740" s="2" t="s">
        <v>125</v>
      </c>
      <c r="D740" s="5">
        <v>1331.81</v>
      </c>
      <c r="E740" s="5">
        <v>3.0</v>
      </c>
      <c r="F740" s="6">
        <v>3995.43</v>
      </c>
      <c r="G740" s="2" t="s">
        <v>2300</v>
      </c>
      <c r="H740" s="2" t="s">
        <v>2301</v>
      </c>
      <c r="I740" s="2" t="s">
        <v>2302</v>
      </c>
    </row>
    <row r="741" ht="15.75" customHeight="1">
      <c r="A741" s="1">
        <v>45655.0</v>
      </c>
      <c r="B741" s="2" t="s">
        <v>35</v>
      </c>
      <c r="C741" s="2" t="s">
        <v>369</v>
      </c>
      <c r="D741" s="5">
        <v>714.18</v>
      </c>
      <c r="E741" s="5">
        <v>4.0</v>
      </c>
      <c r="F741" s="6">
        <v>2856.72</v>
      </c>
      <c r="G741" s="2" t="s">
        <v>2303</v>
      </c>
      <c r="H741" s="2" t="s">
        <v>2304</v>
      </c>
      <c r="I741" s="2" t="s">
        <v>2305</v>
      </c>
    </row>
    <row r="742" ht="15.75" customHeight="1">
      <c r="A742" s="1">
        <v>45655.0</v>
      </c>
      <c r="B742" s="2" t="s">
        <v>9</v>
      </c>
      <c r="C742" s="2" t="s">
        <v>10</v>
      </c>
      <c r="D742" s="5">
        <v>792.6</v>
      </c>
      <c r="E742" s="5">
        <v>5.0</v>
      </c>
      <c r="F742" s="6">
        <v>3963.0</v>
      </c>
      <c r="G742" s="2" t="s">
        <v>2306</v>
      </c>
      <c r="H742" s="2" t="s">
        <v>2307</v>
      </c>
      <c r="I742" s="2" t="s">
        <v>2308</v>
      </c>
    </row>
    <row r="743" ht="15.75" customHeight="1">
      <c r="A743" s="1">
        <v>45655.0</v>
      </c>
      <c r="B743" s="2" t="s">
        <v>9</v>
      </c>
      <c r="C743" s="2" t="s">
        <v>186</v>
      </c>
      <c r="D743" s="5">
        <v>1811.9</v>
      </c>
      <c r="E743" s="5">
        <v>1.0</v>
      </c>
      <c r="F743" s="6">
        <v>1811.9</v>
      </c>
      <c r="G743" s="2" t="s">
        <v>2309</v>
      </c>
      <c r="H743" s="2" t="s">
        <v>2310</v>
      </c>
      <c r="I743" s="2" t="s">
        <v>2311</v>
      </c>
    </row>
    <row r="744" ht="15.75" customHeight="1">
      <c r="A744" s="1">
        <v>45656.0</v>
      </c>
      <c r="B744" s="2" t="s">
        <v>58</v>
      </c>
      <c r="C744" s="2" t="s">
        <v>50</v>
      </c>
      <c r="D744" s="5">
        <v>895.6</v>
      </c>
      <c r="E744" s="5">
        <v>3.0</v>
      </c>
      <c r="F744" s="6">
        <v>2686.8</v>
      </c>
      <c r="G744" s="2" t="s">
        <v>2312</v>
      </c>
      <c r="H744" s="2" t="s">
        <v>2313</v>
      </c>
      <c r="I744" s="2" t="s">
        <v>2314</v>
      </c>
    </row>
    <row r="745" ht="15.75" customHeight="1">
      <c r="A745" s="1">
        <v>45656.0</v>
      </c>
      <c r="B745" s="2" t="s">
        <v>75</v>
      </c>
      <c r="C745" s="2" t="s">
        <v>666</v>
      </c>
      <c r="D745" s="5">
        <v>2064.92</v>
      </c>
      <c r="E745" s="5">
        <v>3.0</v>
      </c>
      <c r="F745" s="6">
        <v>6194.76</v>
      </c>
      <c r="G745" s="2" t="s">
        <v>2315</v>
      </c>
      <c r="H745" s="2" t="s">
        <v>2316</v>
      </c>
      <c r="I745" s="7" t="s">
        <v>2317</v>
      </c>
    </row>
    <row r="746" ht="15.75" customHeight="1">
      <c r="A746" s="1">
        <v>45656.0</v>
      </c>
      <c r="B746" s="2" t="s">
        <v>9</v>
      </c>
      <c r="C746" s="2" t="s">
        <v>31</v>
      </c>
      <c r="D746" s="5">
        <v>2149.59</v>
      </c>
      <c r="E746" s="5">
        <v>4.0</v>
      </c>
      <c r="F746" s="6">
        <v>8598.36</v>
      </c>
      <c r="G746" s="2" t="s">
        <v>2318</v>
      </c>
      <c r="H746" s="2" t="s">
        <v>2319</v>
      </c>
      <c r="I746" s="2" t="s">
        <v>2320</v>
      </c>
    </row>
    <row r="747" ht="15.75" customHeight="1">
      <c r="A747" s="1">
        <v>45656.0</v>
      </c>
      <c r="B747" s="2" t="s">
        <v>35</v>
      </c>
      <c r="C747" s="2" t="s">
        <v>36</v>
      </c>
      <c r="D747" s="5">
        <v>619.4</v>
      </c>
      <c r="E747" s="5">
        <v>1.0</v>
      </c>
      <c r="F747" s="6">
        <v>619.4</v>
      </c>
      <c r="G747" s="2" t="s">
        <v>2321</v>
      </c>
      <c r="H747" s="2" t="s">
        <v>2322</v>
      </c>
      <c r="I747" s="2" t="s">
        <v>2323</v>
      </c>
    </row>
    <row r="748" ht="15.75" customHeight="1">
      <c r="A748" s="1">
        <v>45656.0</v>
      </c>
      <c r="B748" s="2" t="s">
        <v>9</v>
      </c>
      <c r="C748" s="2" t="s">
        <v>40</v>
      </c>
      <c r="D748" s="5">
        <v>2086.06</v>
      </c>
      <c r="E748" s="5">
        <v>1.0</v>
      </c>
      <c r="F748" s="6">
        <v>2086.06</v>
      </c>
      <c r="G748" s="2" t="s">
        <v>2324</v>
      </c>
      <c r="H748" s="2" t="s">
        <v>2325</v>
      </c>
      <c r="I748" s="2" t="s">
        <v>2326</v>
      </c>
    </row>
    <row r="749" ht="15.75" customHeight="1">
      <c r="A749" s="1">
        <v>45656.0</v>
      </c>
      <c r="B749" s="2" t="s">
        <v>9</v>
      </c>
      <c r="C749" s="2" t="s">
        <v>81</v>
      </c>
      <c r="D749" s="5">
        <v>2019.54</v>
      </c>
      <c r="E749" s="5">
        <v>3.0</v>
      </c>
      <c r="F749" s="6">
        <v>6058.62</v>
      </c>
      <c r="G749" s="2" t="s">
        <v>2327</v>
      </c>
      <c r="H749" s="2" t="s">
        <v>2328</v>
      </c>
      <c r="I749" s="2" t="s">
        <v>2329</v>
      </c>
    </row>
    <row r="750" ht="15.75" customHeight="1">
      <c r="A750" s="1">
        <v>45656.0</v>
      </c>
      <c r="B750" s="2" t="s">
        <v>58</v>
      </c>
      <c r="C750" s="2" t="s">
        <v>40</v>
      </c>
      <c r="D750" s="5">
        <v>823.08</v>
      </c>
      <c r="E750" s="5">
        <v>4.0</v>
      </c>
      <c r="F750" s="6">
        <v>3292.32</v>
      </c>
      <c r="G750" s="2" t="s">
        <v>2330</v>
      </c>
      <c r="H750" s="2" t="s">
        <v>2331</v>
      </c>
      <c r="I750" s="2" t="s">
        <v>2332</v>
      </c>
    </row>
    <row r="751" ht="15.75" customHeight="1">
      <c r="A751" s="1">
        <v>45657.0</v>
      </c>
      <c r="B751" s="2" t="s">
        <v>75</v>
      </c>
      <c r="C751" s="2" t="s">
        <v>311</v>
      </c>
      <c r="D751" s="5">
        <v>1721.22</v>
      </c>
      <c r="E751" s="5">
        <v>4.0</v>
      </c>
      <c r="F751" s="6">
        <v>6884.88</v>
      </c>
      <c r="G751" s="2" t="s">
        <v>2333</v>
      </c>
      <c r="H751" s="2" t="s">
        <v>2334</v>
      </c>
      <c r="I751" s="2" t="s">
        <v>2335</v>
      </c>
    </row>
    <row r="752" ht="15.75" customHeight="1">
      <c r="A752" s="1">
        <v>45657.0</v>
      </c>
      <c r="B752" s="2" t="s">
        <v>58</v>
      </c>
      <c r="C752" s="2" t="s">
        <v>40</v>
      </c>
      <c r="D752" s="5">
        <v>134.89</v>
      </c>
      <c r="E752" s="5">
        <v>5.0</v>
      </c>
      <c r="F752" s="6">
        <v>674.45</v>
      </c>
      <c r="G752" s="2" t="s">
        <v>2336</v>
      </c>
      <c r="H752" s="2" t="s">
        <v>2337</v>
      </c>
      <c r="I752" s="2" t="s">
        <v>2338</v>
      </c>
    </row>
    <row r="753" ht="15.75" customHeight="1">
      <c r="A753" s="1">
        <v>45657.0</v>
      </c>
      <c r="B753" s="2" t="s">
        <v>75</v>
      </c>
      <c r="C753" s="2" t="s">
        <v>430</v>
      </c>
      <c r="D753" s="5">
        <v>1545.28</v>
      </c>
      <c r="E753" s="5">
        <v>2.0</v>
      </c>
      <c r="F753" s="6">
        <v>3090.56</v>
      </c>
      <c r="G753" s="2" t="s">
        <v>2339</v>
      </c>
      <c r="H753" s="2" t="s">
        <v>2340</v>
      </c>
      <c r="I753" s="2" t="s">
        <v>2341</v>
      </c>
    </row>
    <row r="754" ht="15.75" customHeight="1">
      <c r="A754" s="1">
        <v>45657.0</v>
      </c>
      <c r="B754" s="2" t="s">
        <v>58</v>
      </c>
      <c r="C754" s="2" t="s">
        <v>31</v>
      </c>
      <c r="D754" s="5">
        <v>807.96</v>
      </c>
      <c r="E754" s="5">
        <v>2.0</v>
      </c>
      <c r="F754" s="6">
        <v>1615.92</v>
      </c>
      <c r="G754" s="2" t="s">
        <v>2342</v>
      </c>
      <c r="H754" s="2" t="s">
        <v>2343</v>
      </c>
      <c r="I754" s="2" t="s">
        <v>2344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11"/>
    <col customWidth="1" min="2" max="2" width="10.67"/>
    <col customWidth="1" min="3" max="5" width="19.44"/>
    <col customWidth="1" min="6" max="6" width="33.22"/>
    <col customWidth="1" min="7" max="9" width="28.0"/>
    <col customWidth="1" min="10" max="10" width="13.56"/>
    <col customWidth="1" min="11" max="11" width="8.0"/>
    <col customWidth="1" min="12" max="12" width="11.78"/>
    <col customWidth="1" min="13" max="13" width="36.0"/>
    <col customWidth="1" min="14" max="14" width="36.33"/>
    <col customWidth="1" min="15" max="15" width="34.89"/>
    <col customWidth="1" min="16" max="32" width="10.56"/>
  </cols>
  <sheetData>
    <row r="1" ht="14.25" customHeight="1">
      <c r="A1" s="9" t="s">
        <v>0</v>
      </c>
      <c r="B1" s="10" t="s">
        <v>1</v>
      </c>
      <c r="C1" s="11" t="s">
        <v>2345</v>
      </c>
      <c r="D1" s="11" t="s">
        <v>2346</v>
      </c>
      <c r="E1" s="11" t="s">
        <v>2347</v>
      </c>
      <c r="F1" s="12" t="s">
        <v>2</v>
      </c>
      <c r="G1" s="11" t="s">
        <v>2348</v>
      </c>
      <c r="H1" s="11" t="s">
        <v>2349</v>
      </c>
      <c r="I1" s="11" t="s">
        <v>2350</v>
      </c>
      <c r="J1" s="13" t="s">
        <v>3</v>
      </c>
      <c r="K1" s="12" t="s">
        <v>4</v>
      </c>
      <c r="L1" s="13" t="s">
        <v>5</v>
      </c>
      <c r="M1" s="12" t="s">
        <v>6</v>
      </c>
      <c r="N1" s="12" t="s">
        <v>7</v>
      </c>
      <c r="O1" s="12" t="s">
        <v>8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ht="15.75" customHeight="1">
      <c r="A2" s="15">
        <v>45568.0</v>
      </c>
      <c r="B2" s="16" t="s">
        <v>19</v>
      </c>
      <c r="C2" s="16" t="str">
        <f t="shared" ref="C2:C1001" si="1">PROPER(B2:B1001) </f>
        <v>Monterrey  </v>
      </c>
      <c r="D2" s="16" t="str">
        <f t="shared" ref="D2:D1001" si="2">TRIM(C2:C1001) </f>
        <v>Monterrey</v>
      </c>
      <c r="E2" s="16" t="str">
        <f t="shared" ref="E2:E1001" si="3">SUBSTITUTE(SUBSTITUTE((D2:D1001),"√©","é"),"√°","á") </f>
        <v>Monterrey</v>
      </c>
      <c r="F2" s="16" t="s">
        <v>15</v>
      </c>
      <c r="G2" s="17" t="str">
        <f>IFERROR(__xludf.DUMMYFUNCTION("SPLIT(F2:F1001,""-"") "),"Auriculares")</f>
        <v>Auriculares</v>
      </c>
      <c r="H2" s="16" t="str">
        <f>IFERROR(__xludf.DUMMYFUNCTION("""COMPUTED_VALUE"""),"Con cable")</f>
        <v>Con cable</v>
      </c>
      <c r="I2" s="16" t="str">
        <f>IFERROR(__xludf.DUMMYFUNCTION("""COMPUTED_VALUE"""),"32GB")</f>
        <v>32GB</v>
      </c>
      <c r="J2" s="18">
        <v>439.01</v>
      </c>
      <c r="K2" s="16">
        <v>5.0</v>
      </c>
      <c r="L2" s="18">
        <v>2195.05</v>
      </c>
      <c r="M2" s="16" t="s">
        <v>20</v>
      </c>
      <c r="N2" s="16" t="s">
        <v>21</v>
      </c>
      <c r="O2" s="16" t="s">
        <v>22</v>
      </c>
    </row>
    <row r="3" ht="15.75" customHeight="1">
      <c r="A3" s="19">
        <v>45580.0</v>
      </c>
      <c r="B3" s="16" t="s">
        <v>14</v>
      </c>
      <c r="C3" s="16" t="str">
        <f t="shared" si="1"/>
        <v>Bogotá</v>
      </c>
      <c r="D3" s="16" t="str">
        <f t="shared" si="2"/>
        <v>Bogotá</v>
      </c>
      <c r="E3" s="16" t="str">
        <f t="shared" si="3"/>
        <v>Bogotá</v>
      </c>
      <c r="F3" s="16" t="s">
        <v>255</v>
      </c>
      <c r="G3" s="17" t="str">
        <f>IFERROR(__xludf.DUMMYFUNCTION("SPLIT(F3:F1002,""-"") "),"Auriculares")</f>
        <v>Auriculares</v>
      </c>
      <c r="H3" s="16" t="str">
        <f>IFERROR(__xludf.DUMMYFUNCTION("""COMPUTED_VALUE"""),"Bluetooth")</f>
        <v>Bluetooth</v>
      </c>
      <c r="I3" s="16" t="str">
        <f>IFERROR(__xludf.DUMMYFUNCTION("""COMPUTED_VALUE"""),"8GB")</f>
        <v>8GB</v>
      </c>
      <c r="J3" s="18">
        <v>1090.69</v>
      </c>
      <c r="K3" s="16">
        <v>1.0</v>
      </c>
      <c r="L3" s="18">
        <v>1090.69</v>
      </c>
      <c r="M3" s="16" t="s">
        <v>256</v>
      </c>
      <c r="N3" s="16" t="s">
        <v>257</v>
      </c>
      <c r="O3" s="16" t="s">
        <v>258</v>
      </c>
    </row>
    <row r="4" ht="15.75" customHeight="1">
      <c r="A4" s="19" t="s">
        <v>2351</v>
      </c>
      <c r="B4" s="16" t="s">
        <v>14</v>
      </c>
      <c r="C4" s="16" t="str">
        <f t="shared" si="1"/>
        <v>Bogotá</v>
      </c>
      <c r="D4" s="16" t="str">
        <f t="shared" si="2"/>
        <v>Bogotá</v>
      </c>
      <c r="E4" s="16" t="str">
        <f t="shared" si="3"/>
        <v>Bogotá</v>
      </c>
      <c r="F4" s="16" t="s">
        <v>90</v>
      </c>
      <c r="G4" s="17" t="str">
        <f>IFERROR(__xludf.DUMMYFUNCTION("SPLIT(F4:F1003,""-"") "),"Laptop")</f>
        <v>Laptop</v>
      </c>
      <c r="H4" s="16" t="str">
        <f>IFERROR(__xludf.DUMMYFUNCTION("""COMPUTED_VALUE"""),"Gaming")</f>
        <v>Gaming</v>
      </c>
      <c r="I4" s="16" t="str">
        <f>IFERROR(__xludf.DUMMYFUNCTION("""COMPUTED_VALUE"""),"32GB")</f>
        <v>32GB</v>
      </c>
      <c r="J4" s="18">
        <v>1174.54</v>
      </c>
      <c r="K4" s="16">
        <v>2.0</v>
      </c>
      <c r="L4" s="18">
        <v>2349.08</v>
      </c>
      <c r="M4" s="16" t="s">
        <v>2352</v>
      </c>
      <c r="N4" s="16" t="s">
        <v>2353</v>
      </c>
      <c r="O4" s="16" t="s">
        <v>2354</v>
      </c>
    </row>
    <row r="5" ht="15.75" customHeight="1">
      <c r="A5" s="15">
        <v>45598.0</v>
      </c>
      <c r="B5" s="16" t="s">
        <v>35</v>
      </c>
      <c r="C5" s="16" t="str">
        <f t="shared" si="1"/>
        <v>Medellín</v>
      </c>
      <c r="D5" s="16" t="str">
        <f t="shared" si="2"/>
        <v>Medellín</v>
      </c>
      <c r="E5" s="16" t="str">
        <f t="shared" si="3"/>
        <v>Medellín</v>
      </c>
      <c r="F5" s="16" t="s">
        <v>132</v>
      </c>
      <c r="G5" s="17" t="str">
        <f>IFERROR(__xludf.DUMMYFUNCTION("SPLIT(F5:F1004,""-"") "),"Tablet")</f>
        <v>Tablet</v>
      </c>
      <c r="H5" s="16" t="str">
        <f>IFERROR(__xludf.DUMMYFUNCTION("""COMPUTED_VALUE"""),"Pro")</f>
        <v>Pro</v>
      </c>
      <c r="I5" s="16" t="str">
        <f>IFERROR(__xludf.DUMMYFUNCTION("""COMPUTED_VALUE"""),"8GB")</f>
        <v>8GB</v>
      </c>
      <c r="J5" s="18">
        <v>1291.38</v>
      </c>
      <c r="K5" s="16">
        <v>4.0</v>
      </c>
      <c r="L5" s="18">
        <v>5165.52</v>
      </c>
      <c r="M5" s="16" t="s">
        <v>815</v>
      </c>
      <c r="N5" s="16" t="s">
        <v>816</v>
      </c>
      <c r="O5" s="16" t="s">
        <v>817</v>
      </c>
    </row>
    <row r="6" ht="15.75" customHeight="1">
      <c r="A6" s="19" t="s">
        <v>2355</v>
      </c>
      <c r="B6" s="16" t="s">
        <v>35</v>
      </c>
      <c r="C6" s="16" t="str">
        <f t="shared" si="1"/>
        <v>Medellín</v>
      </c>
      <c r="D6" s="16" t="str">
        <f t="shared" si="2"/>
        <v>Medellín</v>
      </c>
      <c r="E6" s="16" t="str">
        <f t="shared" si="3"/>
        <v>Medellín</v>
      </c>
      <c r="F6" s="16" t="s">
        <v>430</v>
      </c>
      <c r="G6" s="17" t="str">
        <f>IFERROR(__xludf.DUMMYFUNCTION("SPLIT(F6:F1005,""-"") "),"Teléfono")</f>
        <v>Teléfono</v>
      </c>
      <c r="H6" s="16" t="str">
        <f>IFERROR(__xludf.DUMMYFUNCTION("""COMPUTED_VALUE"""),"Gama alta")</f>
        <v>Gama alta</v>
      </c>
      <c r="I6" s="16" t="str">
        <f>IFERROR(__xludf.DUMMYFUNCTION("""COMPUTED_VALUE"""),"4GB")</f>
        <v>4GB</v>
      </c>
      <c r="J6" s="18">
        <v>1450.89</v>
      </c>
      <c r="K6" s="16">
        <v>1.0</v>
      </c>
      <c r="L6" s="18">
        <v>1450.89</v>
      </c>
      <c r="M6" s="16" t="s">
        <v>2356</v>
      </c>
      <c r="N6" s="16" t="s">
        <v>2357</v>
      </c>
      <c r="O6" s="16" t="s">
        <v>2358</v>
      </c>
    </row>
    <row r="7" ht="15.75" customHeight="1">
      <c r="A7" s="19">
        <v>45601.0</v>
      </c>
      <c r="B7" s="16" t="s">
        <v>75</v>
      </c>
      <c r="C7" s="16" t="str">
        <f t="shared" si="1"/>
        <v>Cali</v>
      </c>
      <c r="D7" s="16" t="str">
        <f t="shared" si="2"/>
        <v>Cali</v>
      </c>
      <c r="E7" s="16" t="str">
        <f t="shared" si="3"/>
        <v>Cali</v>
      </c>
      <c r="F7" s="16" t="s">
        <v>121</v>
      </c>
      <c r="G7" s="17" t="str">
        <f>IFERROR(__xludf.DUMMYFUNCTION("SPLIT(F7:F1006,""-"") "),"Teléfono")</f>
        <v>Teléfono</v>
      </c>
      <c r="H7" s="16" t="str">
        <f>IFERROR(__xludf.DUMMYFUNCTION("""COMPUTED_VALUE"""),"Gama alta")</f>
        <v>Gama alta</v>
      </c>
      <c r="I7" s="16" t="str">
        <f>IFERROR(__xludf.DUMMYFUNCTION("""COMPUTED_VALUE"""),"8GB")</f>
        <v>8GB</v>
      </c>
      <c r="J7" s="18">
        <v>670.67</v>
      </c>
      <c r="K7" s="16">
        <v>4.0</v>
      </c>
      <c r="L7" s="18">
        <v>2682.68</v>
      </c>
      <c r="M7" s="16" t="s">
        <v>843</v>
      </c>
      <c r="N7" s="16" t="s">
        <v>844</v>
      </c>
      <c r="O7" s="16" t="s">
        <v>845</v>
      </c>
    </row>
    <row r="8" ht="15.75" customHeight="1">
      <c r="A8" s="15">
        <v>45627.0</v>
      </c>
      <c r="B8" s="16" t="s">
        <v>1633</v>
      </c>
      <c r="C8" s="16" t="str">
        <f t="shared" si="1"/>
        <v>  Guadalajara</v>
      </c>
      <c r="D8" s="16" t="str">
        <f t="shared" si="2"/>
        <v>Guadalajara</v>
      </c>
      <c r="E8" s="16" t="str">
        <f t="shared" si="3"/>
        <v>Guadalajara</v>
      </c>
      <c r="F8" s="16" t="s">
        <v>182</v>
      </c>
      <c r="G8" s="17" t="str">
        <f>IFERROR(__xludf.DUMMYFUNCTION("SPLIT(F8:F1007,""-"") "),"Tablet")</f>
        <v>Tablet</v>
      </c>
      <c r="H8" s="16" t="str">
        <f>IFERROR(__xludf.DUMMYFUNCTION("""COMPUTED_VALUE"""),"Mini")</f>
        <v>Mini</v>
      </c>
      <c r="I8" s="16" t="str">
        <f>IFERROR(__xludf.DUMMYFUNCTION("""COMPUTED_VALUE"""),"4GB")</f>
        <v>4GB</v>
      </c>
      <c r="J8" s="18">
        <v>1114.1</v>
      </c>
      <c r="K8" s="16">
        <v>3.0</v>
      </c>
      <c r="L8" s="18">
        <v>3342.3</v>
      </c>
      <c r="M8" s="16" t="s">
        <v>1634</v>
      </c>
      <c r="N8" s="16" t="s">
        <v>1635</v>
      </c>
      <c r="O8" s="16" t="s">
        <v>1636</v>
      </c>
    </row>
    <row r="9" ht="15.75" customHeight="1">
      <c r="A9" s="19">
        <v>45636.0</v>
      </c>
      <c r="B9" s="20" t="s">
        <v>2359</v>
      </c>
      <c r="C9" s="16" t="str">
        <f t="shared" si="1"/>
        <v>Ciudad De M√©Xico</v>
      </c>
      <c r="D9" s="16" t="str">
        <f t="shared" si="2"/>
        <v>Ciudad De M√©Xico</v>
      </c>
      <c r="E9" s="16" t="str">
        <f t="shared" si="3"/>
        <v>Ciudad De MéXico</v>
      </c>
      <c r="F9" s="16" t="s">
        <v>132</v>
      </c>
      <c r="G9" s="17" t="str">
        <f>IFERROR(__xludf.DUMMYFUNCTION("SPLIT(F9:F1008,""-"") "),"Tablet")</f>
        <v>Tablet</v>
      </c>
      <c r="H9" s="16" t="str">
        <f>IFERROR(__xludf.DUMMYFUNCTION("""COMPUTED_VALUE"""),"Pro")</f>
        <v>Pro</v>
      </c>
      <c r="I9" s="16" t="str">
        <f>IFERROR(__xludf.DUMMYFUNCTION("""COMPUTED_VALUE"""),"8GB")</f>
        <v>8GB</v>
      </c>
      <c r="J9" s="18">
        <v>1001.63</v>
      </c>
      <c r="K9" s="16">
        <v>3.0</v>
      </c>
      <c r="L9" s="18">
        <v>3004.89</v>
      </c>
      <c r="M9" s="16" t="s">
        <v>1727</v>
      </c>
      <c r="N9" s="16" t="s">
        <v>1728</v>
      </c>
      <c r="O9" s="16" t="s">
        <v>1729</v>
      </c>
    </row>
    <row r="10" ht="15.75" customHeight="1">
      <c r="A10" s="19" t="s">
        <v>2360</v>
      </c>
      <c r="B10" s="16" t="s">
        <v>75</v>
      </c>
      <c r="C10" s="16" t="str">
        <f t="shared" si="1"/>
        <v>Cali</v>
      </c>
      <c r="D10" s="16" t="str">
        <f t="shared" si="2"/>
        <v>Cali</v>
      </c>
      <c r="E10" s="16" t="str">
        <f t="shared" si="3"/>
        <v>Cali</v>
      </c>
      <c r="F10" s="16" t="s">
        <v>190</v>
      </c>
      <c r="G10" s="17" t="str">
        <f>IFERROR(__xludf.DUMMYFUNCTION("SPLIT(F10:F1009,""-"") "),"Laptop")</f>
        <v>Laptop</v>
      </c>
      <c r="H10" s="16" t="str">
        <f>IFERROR(__xludf.DUMMYFUNCTION("""COMPUTED_VALUE"""),"Ultraliviana")</f>
        <v>Ultraliviana</v>
      </c>
      <c r="I10" s="16" t="str">
        <f>IFERROR(__xludf.DUMMYFUNCTION("""COMPUTED_VALUE"""),"16GB")</f>
        <v>16GB</v>
      </c>
      <c r="J10" s="18">
        <v>181.56</v>
      </c>
      <c r="K10" s="16">
        <v>4.0</v>
      </c>
      <c r="L10" s="18">
        <v>726.24</v>
      </c>
      <c r="M10" s="16" t="s">
        <v>2361</v>
      </c>
      <c r="N10" s="16" t="s">
        <v>2362</v>
      </c>
      <c r="O10" s="16" t="s">
        <v>2363</v>
      </c>
    </row>
    <row r="11" ht="15.75" customHeight="1">
      <c r="A11" s="19" t="s">
        <v>2364</v>
      </c>
      <c r="B11" s="16" t="s">
        <v>116</v>
      </c>
      <c r="C11" s="16" t="str">
        <f t="shared" si="1"/>
        <v>Guadalajara</v>
      </c>
      <c r="D11" s="16" t="str">
        <f t="shared" si="2"/>
        <v>Guadalajara</v>
      </c>
      <c r="E11" s="16" t="str">
        <f t="shared" si="3"/>
        <v>Guadalajara</v>
      </c>
      <c r="F11" s="16" t="s">
        <v>182</v>
      </c>
      <c r="G11" s="17" t="str">
        <f>IFERROR(__xludf.DUMMYFUNCTION("SPLIT(F11:F1010,""-"") "),"Tablet")</f>
        <v>Tablet</v>
      </c>
      <c r="H11" s="16" t="str">
        <f>IFERROR(__xludf.DUMMYFUNCTION("""COMPUTED_VALUE"""),"Mini")</f>
        <v>Mini</v>
      </c>
      <c r="I11" s="16" t="str">
        <f>IFERROR(__xludf.DUMMYFUNCTION("""COMPUTED_VALUE"""),"4GB")</f>
        <v>4GB</v>
      </c>
      <c r="J11" s="18">
        <v>964.35</v>
      </c>
      <c r="K11" s="16">
        <v>5.0</v>
      </c>
      <c r="L11" s="18">
        <v>4821.75</v>
      </c>
      <c r="M11" s="16" t="s">
        <v>2365</v>
      </c>
      <c r="N11" s="16" t="s">
        <v>2366</v>
      </c>
      <c r="O11" s="21" t="s">
        <v>2367</v>
      </c>
    </row>
    <row r="12" ht="15.75" customHeight="1">
      <c r="A12" s="15">
        <v>45574.0</v>
      </c>
      <c r="B12" s="16" t="s">
        <v>14</v>
      </c>
      <c r="C12" s="16" t="str">
        <f t="shared" si="1"/>
        <v>Bogotá</v>
      </c>
      <c r="D12" s="16" t="str">
        <f t="shared" si="2"/>
        <v>Bogotá</v>
      </c>
      <c r="E12" s="16" t="str">
        <f t="shared" si="3"/>
        <v>Bogotá</v>
      </c>
      <c r="F12" s="16" t="s">
        <v>71</v>
      </c>
      <c r="G12" s="17" t="str">
        <f>IFERROR(__xludf.DUMMYFUNCTION("SPLIT(F12:F1011,""-"") "),"Auriculares")</f>
        <v>Auriculares</v>
      </c>
      <c r="H12" s="16" t="str">
        <f>IFERROR(__xludf.DUMMYFUNCTION("""COMPUTED_VALUE"""),"Bluetooth")</f>
        <v>Bluetooth</v>
      </c>
      <c r="I12" s="16" t="str">
        <f>IFERROR(__xludf.DUMMYFUNCTION("""COMPUTED_VALUE"""),"16GB")</f>
        <v>16GB</v>
      </c>
      <c r="J12" s="18">
        <v>120.46</v>
      </c>
      <c r="K12" s="16">
        <v>1.0</v>
      </c>
      <c r="L12" s="18">
        <v>120.46</v>
      </c>
      <c r="M12" s="16" t="s">
        <v>72</v>
      </c>
      <c r="N12" s="16" t="s">
        <v>73</v>
      </c>
      <c r="O12" s="16" t="s">
        <v>74</v>
      </c>
    </row>
    <row r="13" ht="15.75" customHeight="1">
      <c r="A13" s="19">
        <v>45621.0</v>
      </c>
      <c r="B13" s="16" t="s">
        <v>35</v>
      </c>
      <c r="C13" s="16" t="str">
        <f t="shared" si="1"/>
        <v>Medellín</v>
      </c>
      <c r="D13" s="16" t="str">
        <f t="shared" si="2"/>
        <v>Medellín</v>
      </c>
      <c r="E13" s="16" t="str">
        <f t="shared" si="3"/>
        <v>Medellín</v>
      </c>
      <c r="F13" s="16" t="s">
        <v>139</v>
      </c>
      <c r="G13" s="17" t="str">
        <f>IFERROR(__xludf.DUMMYFUNCTION("SPLIT(F13:F1012,""-"") "),"Auriculares")</f>
        <v>Auriculares</v>
      </c>
      <c r="H13" s="16" t="str">
        <f>IFERROR(__xludf.DUMMYFUNCTION("""COMPUTED_VALUE"""),"Con cable")</f>
        <v>Con cable</v>
      </c>
      <c r="I13" s="16" t="str">
        <f>IFERROR(__xludf.DUMMYFUNCTION("""COMPUTED_VALUE"""),"16GB")</f>
        <v>16GB</v>
      </c>
      <c r="J13" s="18">
        <v>1061.61</v>
      </c>
      <c r="K13" s="16">
        <v>1.0</v>
      </c>
      <c r="L13" s="18">
        <v>1061.61</v>
      </c>
      <c r="M13" s="16" t="s">
        <v>1462</v>
      </c>
      <c r="N13" s="16" t="s">
        <v>1463</v>
      </c>
      <c r="O13" s="16" t="s">
        <v>1464</v>
      </c>
    </row>
    <row r="14" ht="15.75" customHeight="1">
      <c r="A14" s="19" t="s">
        <v>2368</v>
      </c>
      <c r="B14" s="16" t="s">
        <v>75</v>
      </c>
      <c r="C14" s="16" t="str">
        <f t="shared" si="1"/>
        <v>Cali</v>
      </c>
      <c r="D14" s="16" t="str">
        <f t="shared" si="2"/>
        <v>Cali</v>
      </c>
      <c r="E14" s="16" t="str">
        <f t="shared" si="3"/>
        <v>Cali</v>
      </c>
      <c r="F14" s="16" t="s">
        <v>36</v>
      </c>
      <c r="G14" s="17" t="str">
        <f>IFERROR(__xludf.DUMMYFUNCTION("SPLIT(F14:F1013,""-"") "),"Tablet")</f>
        <v>Tablet</v>
      </c>
      <c r="H14" s="16" t="str">
        <f>IFERROR(__xludf.DUMMYFUNCTION("""COMPUTED_VALUE"""),"Pro")</f>
        <v>Pro</v>
      </c>
      <c r="I14" s="16" t="str">
        <f>IFERROR(__xludf.DUMMYFUNCTION("""COMPUTED_VALUE"""),"4GB")</f>
        <v>4GB</v>
      </c>
      <c r="J14" s="18">
        <v>2440.84</v>
      </c>
      <c r="K14" s="16">
        <v>5.0</v>
      </c>
      <c r="L14" s="18">
        <v>12204.2</v>
      </c>
      <c r="M14" s="16" t="s">
        <v>2369</v>
      </c>
      <c r="N14" s="16" t="s">
        <v>2370</v>
      </c>
      <c r="O14" s="16" t="s">
        <v>2371</v>
      </c>
    </row>
    <row r="15" ht="15.75" customHeight="1">
      <c r="A15" s="19">
        <v>45586.0</v>
      </c>
      <c r="B15" s="16" t="s">
        <v>19</v>
      </c>
      <c r="C15" s="16" t="str">
        <f t="shared" si="1"/>
        <v>Monterrey  </v>
      </c>
      <c r="D15" s="16" t="str">
        <f t="shared" si="2"/>
        <v>Monterrey</v>
      </c>
      <c r="E15" s="16" t="str">
        <f t="shared" si="3"/>
        <v>Monterrey</v>
      </c>
      <c r="F15" s="16" t="s">
        <v>117</v>
      </c>
      <c r="G15" s="17" t="str">
        <f>IFERROR(__xludf.DUMMYFUNCTION("SPLIT(F15:F1014,""-"") "),"Teléfono")</f>
        <v>Teléfono</v>
      </c>
      <c r="H15" s="16" t="str">
        <f>IFERROR(__xludf.DUMMYFUNCTION("""COMPUTED_VALUE"""),"Gama baja")</f>
        <v>Gama baja</v>
      </c>
      <c r="I15" s="16" t="str">
        <f>IFERROR(__xludf.DUMMYFUNCTION("""COMPUTED_VALUE"""),"16GB")</f>
        <v>16GB</v>
      </c>
      <c r="J15" s="18">
        <v>121.68</v>
      </c>
      <c r="K15" s="16">
        <v>2.0</v>
      </c>
      <c r="L15" s="18">
        <v>243.36</v>
      </c>
      <c r="M15" s="16" t="s">
        <v>492</v>
      </c>
      <c r="N15" s="16" t="s">
        <v>493</v>
      </c>
      <c r="O15" s="16" t="s">
        <v>494</v>
      </c>
    </row>
    <row r="16" ht="15.75" customHeight="1">
      <c r="A16" s="15">
        <v>45626.0</v>
      </c>
      <c r="B16" s="16" t="s">
        <v>58</v>
      </c>
      <c r="C16" s="16" t="str">
        <f t="shared" si="1"/>
        <v>Guadalajara</v>
      </c>
      <c r="D16" s="16" t="str">
        <f t="shared" si="2"/>
        <v>Guadalajara</v>
      </c>
      <c r="E16" s="16" t="str">
        <f t="shared" si="3"/>
        <v>Guadalajara</v>
      </c>
      <c r="F16" s="16" t="s">
        <v>319</v>
      </c>
      <c r="G16" s="17" t="str">
        <f>IFERROR(__xludf.DUMMYFUNCTION("SPLIT(F16:F1015,""-"") "),"Tablet")</f>
        <v>Tablet</v>
      </c>
      <c r="H16" s="16" t="str">
        <f>IFERROR(__xludf.DUMMYFUNCTION("""COMPUTED_VALUE"""),"Pro")</f>
        <v>Pro</v>
      </c>
      <c r="I16" s="16" t="str">
        <f>IFERROR(__xludf.DUMMYFUNCTION("""COMPUTED_VALUE"""),"32GB")</f>
        <v>32GB</v>
      </c>
      <c r="J16" s="18">
        <v>1109.64</v>
      </c>
      <c r="K16" s="16">
        <v>3.0</v>
      </c>
      <c r="L16" s="22">
        <f>(J16*K16)</f>
        <v>3328.92</v>
      </c>
      <c r="M16" s="16" t="s">
        <v>1608</v>
      </c>
      <c r="N16" s="16" t="s">
        <v>1609</v>
      </c>
      <c r="O16" s="16" t="s">
        <v>1610</v>
      </c>
    </row>
    <row r="17" ht="15.75" customHeight="1">
      <c r="A17" s="19">
        <v>45631.0</v>
      </c>
      <c r="B17" s="16" t="s">
        <v>58</v>
      </c>
      <c r="C17" s="16" t="str">
        <f t="shared" si="1"/>
        <v>Guadalajara</v>
      </c>
      <c r="D17" s="16" t="str">
        <f t="shared" si="2"/>
        <v>Guadalajara</v>
      </c>
      <c r="E17" s="16" t="str">
        <f t="shared" si="3"/>
        <v>Guadalajara</v>
      </c>
      <c r="F17" s="16" t="s">
        <v>76</v>
      </c>
      <c r="G17" s="17" t="str">
        <f>IFERROR(__xludf.DUMMYFUNCTION("SPLIT(F17:F1016,""-"") "),"Tablet")</f>
        <v>Tablet</v>
      </c>
      <c r="H17" s="16" t="str">
        <f>IFERROR(__xludf.DUMMYFUNCTION("""COMPUTED_VALUE"""),"Mini")</f>
        <v>Mini</v>
      </c>
      <c r="I17" s="16" t="str">
        <f>IFERROR(__xludf.DUMMYFUNCTION("""COMPUTED_VALUE"""),"32GB")</f>
        <v>32GB</v>
      </c>
      <c r="J17" s="18">
        <v>2246.48</v>
      </c>
      <c r="K17" s="16">
        <v>1.0</v>
      </c>
      <c r="L17" s="18">
        <v>2246.48</v>
      </c>
      <c r="M17" s="16" t="s">
        <v>1676</v>
      </c>
      <c r="N17" s="16" t="s">
        <v>1677</v>
      </c>
      <c r="O17" s="16" t="s">
        <v>1678</v>
      </c>
    </row>
    <row r="18" ht="15.75" customHeight="1">
      <c r="A18" s="19" t="s">
        <v>2372</v>
      </c>
      <c r="B18" s="16" t="s">
        <v>14</v>
      </c>
      <c r="C18" s="16" t="str">
        <f t="shared" si="1"/>
        <v>Bogotá</v>
      </c>
      <c r="D18" s="16" t="str">
        <f t="shared" si="2"/>
        <v>Bogotá</v>
      </c>
      <c r="E18" s="16" t="str">
        <f t="shared" si="3"/>
        <v>Bogotá</v>
      </c>
      <c r="F18" s="16" t="s">
        <v>389</v>
      </c>
      <c r="G18" s="17" t="str">
        <f>IFERROR(__xludf.DUMMYFUNCTION("SPLIT(F18:F1017,""-"") "),"Auriculares")</f>
        <v>Auriculares</v>
      </c>
      <c r="H18" s="16" t="str">
        <f>IFERROR(__xludf.DUMMYFUNCTION("""COMPUTED_VALUE"""),"Cancelación de ruido")</f>
        <v>Cancelación de ruido</v>
      </c>
      <c r="I18" s="16" t="str">
        <f>IFERROR(__xludf.DUMMYFUNCTION("""COMPUTED_VALUE"""),"4GB")</f>
        <v>4GB</v>
      </c>
      <c r="J18" s="18">
        <v>129.07</v>
      </c>
      <c r="K18" s="16">
        <v>4.0</v>
      </c>
      <c r="L18" s="18">
        <v>516.28</v>
      </c>
      <c r="M18" s="16" t="s">
        <v>2373</v>
      </c>
      <c r="N18" s="16" t="s">
        <v>2374</v>
      </c>
      <c r="O18" s="16" t="s">
        <v>2375</v>
      </c>
    </row>
    <row r="19" ht="15.75" customHeight="1">
      <c r="A19" s="15">
        <v>45654.0</v>
      </c>
      <c r="B19" s="16" t="s">
        <v>9</v>
      </c>
      <c r="C19" s="16" t="str">
        <f t="shared" si="1"/>
        <v>Monterrey</v>
      </c>
      <c r="D19" s="16" t="str">
        <f t="shared" si="2"/>
        <v>Monterrey</v>
      </c>
      <c r="E19" s="16" t="str">
        <f t="shared" si="3"/>
        <v>Monterrey</v>
      </c>
      <c r="F19" s="16" t="s">
        <v>71</v>
      </c>
      <c r="G19" s="17" t="str">
        <f>IFERROR(__xludf.DUMMYFUNCTION("SPLIT(F19:F1018,""-"") "),"Auriculares")</f>
        <v>Auriculares</v>
      </c>
      <c r="H19" s="16" t="str">
        <f>IFERROR(__xludf.DUMMYFUNCTION("""COMPUTED_VALUE"""),"Bluetooth")</f>
        <v>Bluetooth</v>
      </c>
      <c r="I19" s="16" t="str">
        <f>IFERROR(__xludf.DUMMYFUNCTION("""COMPUTED_VALUE"""),"16GB")</f>
        <v>16GB</v>
      </c>
      <c r="J19" s="18">
        <v>1724.31</v>
      </c>
      <c r="K19" s="16">
        <v>2.0</v>
      </c>
      <c r="L19" s="18">
        <v>3448.62</v>
      </c>
      <c r="M19" s="16" t="s">
        <v>2231</v>
      </c>
      <c r="N19" s="16" t="s">
        <v>2232</v>
      </c>
      <c r="O19" s="16" t="s">
        <v>2233</v>
      </c>
    </row>
    <row r="20" ht="15.75" customHeight="1">
      <c r="A20" s="19">
        <v>45577.0</v>
      </c>
      <c r="B20" s="16" t="s">
        <v>14</v>
      </c>
      <c r="C20" s="16" t="str">
        <f t="shared" si="1"/>
        <v>Bogotá</v>
      </c>
      <c r="D20" s="16" t="str">
        <f t="shared" si="2"/>
        <v>Bogotá</v>
      </c>
      <c r="E20" s="16" t="str">
        <f t="shared" si="3"/>
        <v>Bogotá</v>
      </c>
      <c r="F20" s="16" t="s">
        <v>146</v>
      </c>
      <c r="G20" s="17" t="str">
        <f>IFERROR(__xludf.DUMMYFUNCTION("SPLIT(F20:F1019,""-"") "),"Teléfono")</f>
        <v>Teléfono</v>
      </c>
      <c r="H20" s="16" t="str">
        <f>IFERROR(__xludf.DUMMYFUNCTION("""COMPUTED_VALUE"""),"Gama alta")</f>
        <v>Gama alta</v>
      </c>
      <c r="I20" s="16" t="str">
        <f>IFERROR(__xludf.DUMMYFUNCTION("""COMPUTED_VALUE"""),"16GB ")</f>
        <v>16GB </v>
      </c>
      <c r="J20" s="18">
        <v>1445.1</v>
      </c>
      <c r="K20" s="16">
        <v>4.0</v>
      </c>
      <c r="L20" s="18">
        <v>5780.4</v>
      </c>
      <c r="M20" s="16" t="s">
        <v>147</v>
      </c>
      <c r="N20" s="16" t="s">
        <v>148</v>
      </c>
      <c r="O20" s="16" t="s">
        <v>149</v>
      </c>
    </row>
    <row r="21" ht="15.75" customHeight="1">
      <c r="A21" s="15">
        <v>45610.0</v>
      </c>
      <c r="B21" s="16" t="s">
        <v>75</v>
      </c>
      <c r="C21" s="16" t="str">
        <f t="shared" si="1"/>
        <v>Cali</v>
      </c>
      <c r="D21" s="16" t="str">
        <f t="shared" si="2"/>
        <v>Cali</v>
      </c>
      <c r="E21" s="16" t="str">
        <f t="shared" si="3"/>
        <v>Cali</v>
      </c>
      <c r="F21" s="16" t="s">
        <v>23</v>
      </c>
      <c r="G21" s="17" t="str">
        <f>IFERROR(__xludf.DUMMYFUNCTION("SPLIT(F21:F1020,""-"") "),"Tablet")</f>
        <v>Tablet</v>
      </c>
      <c r="H21" s="16" t="str">
        <f>IFERROR(__xludf.DUMMYFUNCTION("""COMPUTED_VALUE"""),"Estándar")</f>
        <v>Estándar</v>
      </c>
      <c r="I21" s="16" t="str">
        <f>IFERROR(__xludf.DUMMYFUNCTION("""COMPUTED_VALUE"""),"16GB")</f>
        <v>16GB</v>
      </c>
      <c r="J21" s="18">
        <v>1618.43</v>
      </c>
      <c r="K21" s="16">
        <v>3.0</v>
      </c>
      <c r="L21" s="18">
        <v>4855.29</v>
      </c>
      <c r="M21" s="16" t="s">
        <v>1069</v>
      </c>
      <c r="N21" s="16" t="s">
        <v>1070</v>
      </c>
      <c r="O21" s="16" t="s">
        <v>1071</v>
      </c>
    </row>
    <row r="22" ht="15.75" customHeight="1">
      <c r="A22" s="19" t="s">
        <v>2376</v>
      </c>
      <c r="B22" s="16" t="s">
        <v>2359</v>
      </c>
      <c r="C22" s="16" t="str">
        <f t="shared" si="1"/>
        <v>Ciudad De M√©Xico</v>
      </c>
      <c r="D22" s="16" t="str">
        <f t="shared" si="2"/>
        <v>Ciudad De M√©Xico</v>
      </c>
      <c r="E22" s="16" t="str">
        <f t="shared" si="3"/>
        <v>Ciudad De MéXico</v>
      </c>
      <c r="F22" s="16" t="s">
        <v>218</v>
      </c>
      <c r="G22" s="17" t="str">
        <f>IFERROR(__xludf.DUMMYFUNCTION("SPLIT(F22:F1021,""-"") "),"Teléfono")</f>
        <v>Teléfono</v>
      </c>
      <c r="H22" s="16" t="str">
        <f>IFERROR(__xludf.DUMMYFUNCTION("""COMPUTED_VALUE"""),"Gama media")</f>
        <v>Gama media</v>
      </c>
      <c r="I22" s="16" t="str">
        <f>IFERROR(__xludf.DUMMYFUNCTION("""COMPUTED_VALUE"""),"4GB")</f>
        <v>4GB</v>
      </c>
      <c r="J22" s="18">
        <v>2070.23</v>
      </c>
      <c r="K22" s="16">
        <v>5.0</v>
      </c>
      <c r="L22" s="18">
        <v>10351.15</v>
      </c>
      <c r="M22" s="16" t="s">
        <v>2377</v>
      </c>
      <c r="N22" s="16" t="s">
        <v>2378</v>
      </c>
      <c r="O22" s="16" t="s">
        <v>2379</v>
      </c>
    </row>
    <row r="23" ht="15.75" customHeight="1">
      <c r="A23" s="19">
        <v>45606.0</v>
      </c>
      <c r="B23" s="16" t="s">
        <v>35</v>
      </c>
      <c r="C23" s="16" t="str">
        <f t="shared" si="1"/>
        <v>Medellín</v>
      </c>
      <c r="D23" s="16" t="str">
        <f t="shared" si="2"/>
        <v>Medellín</v>
      </c>
      <c r="E23" s="16" t="str">
        <f t="shared" si="3"/>
        <v>Medellín</v>
      </c>
      <c r="F23" s="16" t="s">
        <v>315</v>
      </c>
      <c r="G23" s="17" t="str">
        <f>IFERROR(__xludf.DUMMYFUNCTION("SPLIT(F23:F1022,""-"") "),"Teléfono")</f>
        <v>Teléfono</v>
      </c>
      <c r="H23" s="16" t="str">
        <f>IFERROR(__xludf.DUMMYFUNCTION("""COMPUTED_VALUE"""),"Gama baja")</f>
        <v>Gama baja</v>
      </c>
      <c r="I23" s="16" t="str">
        <f>IFERROR(__xludf.DUMMYFUNCTION("""COMPUTED_VALUE"""),"8GB")</f>
        <v>8GB</v>
      </c>
      <c r="J23" s="18">
        <v>763.62</v>
      </c>
      <c r="K23" s="16">
        <v>1.0</v>
      </c>
      <c r="L23" s="18">
        <v>763.62</v>
      </c>
      <c r="M23" s="16" t="s">
        <v>915</v>
      </c>
      <c r="N23" s="16" t="s">
        <v>916</v>
      </c>
      <c r="O23" s="16" t="s">
        <v>917</v>
      </c>
    </row>
    <row r="24" ht="15.75" customHeight="1">
      <c r="A24" s="15">
        <v>45642.0</v>
      </c>
      <c r="B24" s="16" t="s">
        <v>9</v>
      </c>
      <c r="C24" s="16" t="str">
        <f t="shared" si="1"/>
        <v>Monterrey</v>
      </c>
      <c r="D24" s="16" t="str">
        <f t="shared" si="2"/>
        <v>Monterrey</v>
      </c>
      <c r="E24" s="16" t="str">
        <f t="shared" si="3"/>
        <v>Monterrey</v>
      </c>
      <c r="F24" s="16" t="s">
        <v>218</v>
      </c>
      <c r="G24" s="17" t="str">
        <f>IFERROR(__xludf.DUMMYFUNCTION("SPLIT(F24:F1023,""-"") "),"Teléfono")</f>
        <v>Teléfono</v>
      </c>
      <c r="H24" s="16" t="str">
        <f>IFERROR(__xludf.DUMMYFUNCTION("""COMPUTED_VALUE"""),"Gama media")</f>
        <v>Gama media</v>
      </c>
      <c r="I24" s="16" t="str">
        <f>IFERROR(__xludf.DUMMYFUNCTION("""COMPUTED_VALUE"""),"4GB")</f>
        <v>4GB</v>
      </c>
      <c r="J24" s="18">
        <v>658.01</v>
      </c>
      <c r="K24" s="16">
        <v>5.0</v>
      </c>
      <c r="L24" s="18">
        <v>3290.05</v>
      </c>
      <c r="M24" s="16" t="s">
        <v>1876</v>
      </c>
      <c r="N24" s="16" t="s">
        <v>1877</v>
      </c>
      <c r="O24" s="16" t="s">
        <v>1878</v>
      </c>
    </row>
    <row r="25" ht="15.75" customHeight="1">
      <c r="A25" s="19" t="s">
        <v>2380</v>
      </c>
      <c r="B25" s="16" t="s">
        <v>2044</v>
      </c>
      <c r="C25" s="16" t="str">
        <f t="shared" si="1"/>
        <v>Monterrey</v>
      </c>
      <c r="D25" s="16" t="str">
        <f t="shared" si="2"/>
        <v>Monterrey</v>
      </c>
      <c r="E25" s="16" t="str">
        <f t="shared" si="3"/>
        <v>Monterrey</v>
      </c>
      <c r="F25" s="16" t="s">
        <v>36</v>
      </c>
      <c r="G25" s="17" t="str">
        <f>IFERROR(__xludf.DUMMYFUNCTION("SPLIT(F25:F1024,""-"") "),"Tablet")</f>
        <v>Tablet</v>
      </c>
      <c r="H25" s="16" t="str">
        <f>IFERROR(__xludf.DUMMYFUNCTION("""COMPUTED_VALUE"""),"Pro")</f>
        <v>Pro</v>
      </c>
      <c r="I25" s="16" t="str">
        <f>IFERROR(__xludf.DUMMYFUNCTION("""COMPUTED_VALUE"""),"4GB")</f>
        <v>4GB</v>
      </c>
      <c r="J25" s="18">
        <v>162.56</v>
      </c>
      <c r="K25" s="16">
        <v>4.0</v>
      </c>
      <c r="L25" s="18">
        <v>650.24</v>
      </c>
      <c r="M25" s="16" t="s">
        <v>2381</v>
      </c>
      <c r="N25" s="16" t="s">
        <v>2382</v>
      </c>
      <c r="O25" s="16" t="s">
        <v>2383</v>
      </c>
    </row>
    <row r="26" ht="15.75" customHeight="1">
      <c r="A26" s="19">
        <v>45657.0</v>
      </c>
      <c r="B26" s="16" t="s">
        <v>75</v>
      </c>
      <c r="C26" s="16" t="str">
        <f t="shared" si="1"/>
        <v>Cali</v>
      </c>
      <c r="D26" s="16" t="str">
        <f t="shared" si="2"/>
        <v>Cali</v>
      </c>
      <c r="E26" s="16" t="str">
        <f t="shared" si="3"/>
        <v>Cali</v>
      </c>
      <c r="F26" s="16" t="s">
        <v>311</v>
      </c>
      <c r="G26" s="17" t="str">
        <f>IFERROR(__xludf.DUMMYFUNCTION("SPLIT(F26:F1025,""-"") "),"Laptop")</f>
        <v>Laptop</v>
      </c>
      <c r="H26" s="16" t="str">
        <f>IFERROR(__xludf.DUMMYFUNCTION("""COMPUTED_VALUE"""),"Ultraliviana")</f>
        <v>Ultraliviana</v>
      </c>
      <c r="I26" s="16" t="str">
        <f>IFERROR(__xludf.DUMMYFUNCTION("""COMPUTED_VALUE"""),"32GB")</f>
        <v>32GB</v>
      </c>
      <c r="J26" s="18">
        <v>1721.22</v>
      </c>
      <c r="K26" s="16">
        <v>4.0</v>
      </c>
      <c r="L26" s="18">
        <v>6884.88</v>
      </c>
      <c r="M26" s="16" t="s">
        <v>2333</v>
      </c>
      <c r="N26" s="16" t="s">
        <v>2334</v>
      </c>
      <c r="O26" s="16" t="s">
        <v>2335</v>
      </c>
    </row>
    <row r="27" ht="15.75" customHeight="1">
      <c r="A27" s="15">
        <v>45568.0</v>
      </c>
      <c r="B27" s="16" t="s">
        <v>14</v>
      </c>
      <c r="C27" s="16" t="str">
        <f t="shared" si="1"/>
        <v>Bogotá</v>
      </c>
      <c r="D27" s="16" t="str">
        <f t="shared" si="2"/>
        <v>Bogotá</v>
      </c>
      <c r="E27" s="16" t="str">
        <f t="shared" si="3"/>
        <v>Bogotá</v>
      </c>
      <c r="F27" s="16" t="s">
        <v>23</v>
      </c>
      <c r="G27" s="17" t="str">
        <f>IFERROR(__xludf.DUMMYFUNCTION("SPLIT(F27:F1026,""-"") "),"Tablet")</f>
        <v>Tablet</v>
      </c>
      <c r="H27" s="16" t="str">
        <f>IFERROR(__xludf.DUMMYFUNCTION("""COMPUTED_VALUE"""),"Estándar")</f>
        <v>Estándar</v>
      </c>
      <c r="I27" s="16" t="str">
        <f>IFERROR(__xludf.DUMMYFUNCTION("""COMPUTED_VALUE"""),"16GB")</f>
        <v>16GB</v>
      </c>
      <c r="J27" s="18">
        <v>741.79</v>
      </c>
      <c r="K27" s="16">
        <v>2.0</v>
      </c>
      <c r="L27" s="18">
        <v>1483.58</v>
      </c>
      <c r="M27" s="16" t="s">
        <v>24</v>
      </c>
      <c r="N27" s="16" t="s">
        <v>25</v>
      </c>
      <c r="O27" s="16" t="s">
        <v>26</v>
      </c>
    </row>
    <row r="28" ht="15.75" customHeight="1">
      <c r="A28" s="19">
        <v>45606.0</v>
      </c>
      <c r="B28" s="16" t="s">
        <v>2384</v>
      </c>
      <c r="C28" s="16" t="str">
        <f t="shared" si="1"/>
        <v>Ciudad De M√Âxico </v>
      </c>
      <c r="D28" s="16" t="str">
        <f t="shared" si="2"/>
        <v>Ciudad De M√Âxico</v>
      </c>
      <c r="E28" s="16" t="str">
        <f t="shared" si="3"/>
        <v>Ciudad De M√Âxico</v>
      </c>
      <c r="F28" s="16" t="s">
        <v>389</v>
      </c>
      <c r="G28" s="17" t="str">
        <f>IFERROR(__xludf.DUMMYFUNCTION("SPLIT(F28:F1027,""-"") "),"Auriculares")</f>
        <v>Auriculares</v>
      </c>
      <c r="H28" s="16" t="str">
        <f>IFERROR(__xludf.DUMMYFUNCTION("""COMPUTED_VALUE"""),"Cancelación de ruido")</f>
        <v>Cancelación de ruido</v>
      </c>
      <c r="I28" s="16" t="str">
        <f>IFERROR(__xludf.DUMMYFUNCTION("""COMPUTED_VALUE"""),"4GB")</f>
        <v>4GB</v>
      </c>
      <c r="J28" s="18">
        <v>489.42</v>
      </c>
      <c r="K28" s="16">
        <v>3.0</v>
      </c>
      <c r="L28" s="18">
        <v>1468.26</v>
      </c>
      <c r="M28" s="16" t="s">
        <v>918</v>
      </c>
      <c r="N28" s="16" t="s">
        <v>919</v>
      </c>
      <c r="O28" s="21" t="s">
        <v>920</v>
      </c>
    </row>
    <row r="29" ht="15.75" customHeight="1">
      <c r="A29" s="19">
        <v>45650.0</v>
      </c>
      <c r="B29" s="16" t="s">
        <v>2359</v>
      </c>
      <c r="C29" s="16" t="str">
        <f t="shared" si="1"/>
        <v>Ciudad De M√©Xico</v>
      </c>
      <c r="D29" s="16" t="str">
        <f t="shared" si="2"/>
        <v>Ciudad De M√©Xico</v>
      </c>
      <c r="E29" s="16" t="str">
        <f t="shared" si="3"/>
        <v>Ciudad De MéXico</v>
      </c>
      <c r="F29" s="16" t="s">
        <v>81</v>
      </c>
      <c r="G29" s="17" t="str">
        <f>IFERROR(__xludf.DUMMYFUNCTION("SPLIT(F29:F1028,""-"") "),"Laptop")</f>
        <v>Laptop</v>
      </c>
      <c r="H29" s="16" t="str">
        <f>IFERROR(__xludf.DUMMYFUNCTION("""COMPUTED_VALUE"""),"Oficina")</f>
        <v>Oficina</v>
      </c>
      <c r="I29" s="16" t="str">
        <f>IFERROR(__xludf.DUMMYFUNCTION("""COMPUTED_VALUE"""),"16GB")</f>
        <v>16GB</v>
      </c>
      <c r="J29" s="18">
        <v>1247.53</v>
      </c>
      <c r="K29" s="16">
        <v>4.0</v>
      </c>
      <c r="L29" s="18">
        <v>4990.12</v>
      </c>
      <c r="M29" s="16" t="s">
        <v>2129</v>
      </c>
      <c r="N29" s="16" t="s">
        <v>2130</v>
      </c>
      <c r="O29" s="16" t="s">
        <v>2131</v>
      </c>
    </row>
    <row r="30" ht="15.75" customHeight="1">
      <c r="A30" s="15">
        <v>45592.0</v>
      </c>
      <c r="B30" s="16" t="s">
        <v>75</v>
      </c>
      <c r="C30" s="16" t="str">
        <f t="shared" si="1"/>
        <v>Cali</v>
      </c>
      <c r="D30" s="16" t="str">
        <f t="shared" si="2"/>
        <v>Cali</v>
      </c>
      <c r="E30" s="16" t="str">
        <f t="shared" si="3"/>
        <v>Cali</v>
      </c>
      <c r="F30" s="16" t="s">
        <v>171</v>
      </c>
      <c r="G30" s="17" t="str">
        <f>IFERROR(__xludf.DUMMYFUNCTION("SPLIT(F30:F1029,""-"") "),"Teléfono")</f>
        <v>Teléfono</v>
      </c>
      <c r="H30" s="16" t="str">
        <f>IFERROR(__xludf.DUMMYFUNCTION("""COMPUTED_VALUE"""),"Gama baja")</f>
        <v>Gama baja</v>
      </c>
      <c r="I30" s="16" t="str">
        <f>IFERROR(__xludf.DUMMYFUNCTION("""COMPUTED_VALUE"""),"4GB")</f>
        <v>4GB</v>
      </c>
      <c r="J30" s="18">
        <v>273.42</v>
      </c>
      <c r="K30" s="16">
        <v>4.0</v>
      </c>
      <c r="L30" s="18">
        <v>1093.68</v>
      </c>
      <c r="M30" s="16" t="s">
        <v>670</v>
      </c>
      <c r="N30" s="16" t="s">
        <v>671</v>
      </c>
      <c r="O30" s="16" t="s">
        <v>672</v>
      </c>
    </row>
    <row r="31" ht="15.75" customHeight="1">
      <c r="A31" s="19" t="s">
        <v>2385</v>
      </c>
      <c r="B31" s="16" t="s">
        <v>14</v>
      </c>
      <c r="C31" s="16" t="str">
        <f t="shared" si="1"/>
        <v>Bogotá</v>
      </c>
      <c r="D31" s="16" t="str">
        <f t="shared" si="2"/>
        <v>Bogotá</v>
      </c>
      <c r="E31" s="16" t="str">
        <f t="shared" si="3"/>
        <v>Bogotá</v>
      </c>
      <c r="F31" s="16" t="s">
        <v>218</v>
      </c>
      <c r="G31" s="17" t="str">
        <f>IFERROR(__xludf.DUMMYFUNCTION("SPLIT(F31:F1030,""-"") "),"Teléfono")</f>
        <v>Teléfono</v>
      </c>
      <c r="H31" s="16" t="str">
        <f>IFERROR(__xludf.DUMMYFUNCTION("""COMPUTED_VALUE"""),"Gama media")</f>
        <v>Gama media</v>
      </c>
      <c r="I31" s="16" t="str">
        <f>IFERROR(__xludf.DUMMYFUNCTION("""COMPUTED_VALUE"""),"4GB")</f>
        <v>4GB</v>
      </c>
      <c r="J31" s="18">
        <v>160.68</v>
      </c>
      <c r="K31" s="16">
        <v>1.0</v>
      </c>
      <c r="L31" s="18">
        <v>160.68</v>
      </c>
      <c r="M31" s="16" t="s">
        <v>2386</v>
      </c>
      <c r="N31" s="16" t="s">
        <v>2387</v>
      </c>
      <c r="O31" s="16" t="s">
        <v>2388</v>
      </c>
    </row>
    <row r="32" ht="15.75" customHeight="1">
      <c r="A32" s="19">
        <v>45624.0</v>
      </c>
      <c r="B32" s="16" t="s">
        <v>89</v>
      </c>
      <c r="C32" s="16" t="str">
        <f t="shared" si="1"/>
        <v>Tulum</v>
      </c>
      <c r="D32" s="16" t="str">
        <f t="shared" si="2"/>
        <v>Tulum</v>
      </c>
      <c r="E32" s="16" t="str">
        <f t="shared" si="3"/>
        <v>Tulum</v>
      </c>
      <c r="F32" s="16" t="s">
        <v>292</v>
      </c>
      <c r="G32" s="17" t="str">
        <f>IFERROR(__xludf.DUMMYFUNCTION("SPLIT(F32:F1031,""-"") "),"Teléfono")</f>
        <v>Teléfono</v>
      </c>
      <c r="H32" s="16" t="str">
        <f>IFERROR(__xludf.DUMMYFUNCTION("""COMPUTED_VALUE"""),"Gama alta")</f>
        <v>Gama alta</v>
      </c>
      <c r="I32" s="16" t="str">
        <f>IFERROR(__xludf.DUMMYFUNCTION("""COMPUTED_VALUE"""),"16GB")</f>
        <v>16GB</v>
      </c>
      <c r="J32" s="18">
        <v>2297.62</v>
      </c>
      <c r="K32" s="16">
        <v>4.0</v>
      </c>
      <c r="L32" s="18">
        <v>9190.48</v>
      </c>
      <c r="M32" s="16" t="s">
        <v>1559</v>
      </c>
      <c r="N32" s="16" t="s">
        <v>1560</v>
      </c>
      <c r="O32" s="16" t="s">
        <v>1561</v>
      </c>
    </row>
    <row r="33" ht="15.75" customHeight="1">
      <c r="A33" s="15">
        <v>45601.0</v>
      </c>
      <c r="B33" s="16" t="s">
        <v>2359</v>
      </c>
      <c r="C33" s="16" t="str">
        <f t="shared" si="1"/>
        <v>Ciudad De M√©Xico</v>
      </c>
      <c r="D33" s="16" t="str">
        <f t="shared" si="2"/>
        <v>Ciudad De M√©Xico</v>
      </c>
      <c r="E33" s="16" t="str">
        <f t="shared" si="3"/>
        <v>Ciudad De MéXico</v>
      </c>
      <c r="F33" s="16" t="s">
        <v>153</v>
      </c>
      <c r="G33" s="17" t="str">
        <f>IFERROR(__xludf.DUMMYFUNCTION("SPLIT(F33:F1032,""-"") "),"Laptop")</f>
        <v>Laptop</v>
      </c>
      <c r="H33" s="16" t="str">
        <f>IFERROR(__xludf.DUMMYFUNCTION("""COMPUTED_VALUE"""),"Gaming")</f>
        <v>Gaming</v>
      </c>
      <c r="I33" s="16" t="str">
        <f>IFERROR(__xludf.DUMMYFUNCTION("""COMPUTED_VALUE"""),"8GB")</f>
        <v>8GB</v>
      </c>
      <c r="J33" s="18">
        <v>1040.78</v>
      </c>
      <c r="K33" s="16">
        <v>2.0</v>
      </c>
      <c r="L33" s="18">
        <v>2081.56</v>
      </c>
      <c r="M33" s="16" t="s">
        <v>846</v>
      </c>
      <c r="N33" s="16" t="s">
        <v>847</v>
      </c>
      <c r="O33" s="16" t="s">
        <v>848</v>
      </c>
    </row>
    <row r="34" ht="15.75" customHeight="1">
      <c r="A34" s="19" t="s">
        <v>2389</v>
      </c>
      <c r="B34" s="16" t="s">
        <v>75</v>
      </c>
      <c r="C34" s="16" t="str">
        <f t="shared" si="1"/>
        <v>Cali</v>
      </c>
      <c r="D34" s="16" t="str">
        <f t="shared" si="2"/>
        <v>Cali</v>
      </c>
      <c r="E34" s="16" t="str">
        <f t="shared" si="3"/>
        <v>Cali</v>
      </c>
      <c r="F34" s="16" t="s">
        <v>54</v>
      </c>
      <c r="G34" s="17" t="str">
        <f>IFERROR(__xludf.DUMMYFUNCTION("SPLIT(F34:F1033,""-"") "),"Laptop")</f>
        <v>Laptop</v>
      </c>
      <c r="H34" s="16" t="str">
        <f>IFERROR(__xludf.DUMMYFUNCTION("""COMPUTED_VALUE"""),"Oficina")</f>
        <v>Oficina</v>
      </c>
      <c r="I34" s="16" t="str">
        <f>IFERROR(__xludf.DUMMYFUNCTION("""COMPUTED_VALUE"""),"8GB")</f>
        <v>8GB</v>
      </c>
      <c r="J34" s="18">
        <v>1850.94</v>
      </c>
      <c r="K34" s="16">
        <v>1.0</v>
      </c>
      <c r="L34" s="18">
        <v>1850.94</v>
      </c>
      <c r="M34" s="16" t="s">
        <v>2390</v>
      </c>
      <c r="N34" s="16" t="s">
        <v>2391</v>
      </c>
      <c r="O34" s="16" t="s">
        <v>2392</v>
      </c>
    </row>
    <row r="35" ht="15.75" customHeight="1">
      <c r="A35" s="19">
        <v>45657.0</v>
      </c>
      <c r="B35" s="16" t="s">
        <v>58</v>
      </c>
      <c r="C35" s="16" t="str">
        <f t="shared" si="1"/>
        <v>Guadalajara</v>
      </c>
      <c r="D35" s="16" t="str">
        <f t="shared" si="2"/>
        <v>Guadalajara</v>
      </c>
      <c r="E35" s="16" t="str">
        <f t="shared" si="3"/>
        <v>Guadalajara</v>
      </c>
      <c r="F35" s="16" t="s">
        <v>40</v>
      </c>
      <c r="G35" s="17" t="str">
        <f>IFERROR(__xludf.DUMMYFUNCTION("SPLIT(F35:F1034,""-"") "),"Auriculares")</f>
        <v>Auriculares</v>
      </c>
      <c r="H35" s="16" t="str">
        <f>IFERROR(__xludf.DUMMYFUNCTION("""COMPUTED_VALUE"""),"Con cable")</f>
        <v>Con cable</v>
      </c>
      <c r="I35" s="16" t="str">
        <f>IFERROR(__xludf.DUMMYFUNCTION("""COMPUTED_VALUE"""),"8GB")</f>
        <v>8GB</v>
      </c>
      <c r="J35" s="18">
        <v>134.89</v>
      </c>
      <c r="K35" s="16">
        <v>5.0</v>
      </c>
      <c r="L35" s="18">
        <v>674.45</v>
      </c>
      <c r="M35" s="16" t="s">
        <v>2336</v>
      </c>
      <c r="N35" s="16" t="s">
        <v>2337</v>
      </c>
      <c r="O35" s="16" t="s">
        <v>2338</v>
      </c>
    </row>
    <row r="36" ht="15.75" customHeight="1">
      <c r="A36" s="19">
        <v>45573.0</v>
      </c>
      <c r="B36" s="16" t="s">
        <v>35</v>
      </c>
      <c r="C36" s="16" t="str">
        <f t="shared" si="1"/>
        <v>Medellín</v>
      </c>
      <c r="D36" s="16" t="str">
        <f t="shared" si="2"/>
        <v>Medellín</v>
      </c>
      <c r="E36" s="16" t="str">
        <f t="shared" si="3"/>
        <v>Medellín</v>
      </c>
      <c r="F36" s="16" t="s">
        <v>63</v>
      </c>
      <c r="G36" s="17" t="str">
        <f>IFERROR(__xludf.DUMMYFUNCTION("SPLIT(F36:F1035,""-"") "),"Laptop")</f>
        <v>Laptop</v>
      </c>
      <c r="H36" s="16" t="str">
        <f>IFERROR(__xludf.DUMMYFUNCTION("""COMPUTED_VALUE"""),"Ultraliviana")</f>
        <v>Ultraliviana</v>
      </c>
      <c r="I36" s="16" t="str">
        <f>IFERROR(__xludf.DUMMYFUNCTION("""COMPUTED_VALUE"""),"4GB")</f>
        <v>4GB</v>
      </c>
      <c r="J36" s="18">
        <v>2314.37</v>
      </c>
      <c r="K36" s="16">
        <v>5.0</v>
      </c>
      <c r="L36" s="18">
        <v>11571.85</v>
      </c>
      <c r="M36" s="16" t="s">
        <v>64</v>
      </c>
      <c r="N36" s="16" t="s">
        <v>65</v>
      </c>
      <c r="O36" s="16" t="s">
        <v>66</v>
      </c>
    </row>
    <row r="37" ht="15.75" customHeight="1">
      <c r="A37" s="15">
        <v>45641.0</v>
      </c>
      <c r="B37" s="16" t="s">
        <v>9</v>
      </c>
      <c r="C37" s="16" t="str">
        <f t="shared" si="1"/>
        <v>Monterrey</v>
      </c>
      <c r="D37" s="16" t="str">
        <f t="shared" si="2"/>
        <v>Monterrey</v>
      </c>
      <c r="E37" s="16" t="str">
        <f t="shared" si="3"/>
        <v>Monterrey</v>
      </c>
      <c r="F37" s="16" t="s">
        <v>94</v>
      </c>
      <c r="G37" s="17" t="str">
        <f>IFERROR(__xludf.DUMMYFUNCTION("SPLIT(F37:F1036,""-"") "),"Tablet")</f>
        <v>Tablet</v>
      </c>
      <c r="H37" s="16" t="str">
        <f>IFERROR(__xludf.DUMMYFUNCTION("""COMPUTED_VALUE"""),"Mini")</f>
        <v>Mini</v>
      </c>
      <c r="I37" s="16" t="str">
        <f>IFERROR(__xludf.DUMMYFUNCTION("""COMPUTED_VALUE"""),"8GB")</f>
        <v>8GB</v>
      </c>
      <c r="J37" s="18">
        <v>787.6</v>
      </c>
      <c r="K37" s="16">
        <v>1.0</v>
      </c>
      <c r="L37" s="18">
        <v>787.6</v>
      </c>
      <c r="M37" s="16" t="s">
        <v>1852</v>
      </c>
      <c r="N37" s="16" t="s">
        <v>1853</v>
      </c>
      <c r="O37" s="16" t="s">
        <v>1854</v>
      </c>
    </row>
    <row r="38" ht="15.75" customHeight="1">
      <c r="A38" s="19" t="s">
        <v>2393</v>
      </c>
      <c r="B38" s="16" t="s">
        <v>58</v>
      </c>
      <c r="C38" s="16" t="str">
        <f t="shared" si="1"/>
        <v>Guadalajara</v>
      </c>
      <c r="D38" s="16" t="str">
        <f t="shared" si="2"/>
        <v>Guadalajara</v>
      </c>
      <c r="E38" s="16" t="str">
        <f t="shared" si="3"/>
        <v>Guadalajara</v>
      </c>
      <c r="F38" s="16" t="s">
        <v>666</v>
      </c>
      <c r="G38" s="17" t="str">
        <f>IFERROR(__xludf.DUMMYFUNCTION("SPLIT(F38:F1037,""-"") "),"Auriculares")</f>
        <v>Auriculares</v>
      </c>
      <c r="H38" s="16" t="str">
        <f>IFERROR(__xludf.DUMMYFUNCTION("""COMPUTED_VALUE"""),"Cancelación de ruido")</f>
        <v>Cancelación de ruido</v>
      </c>
      <c r="I38" s="16" t="str">
        <f>IFERROR(__xludf.DUMMYFUNCTION("""COMPUTED_VALUE"""),"32GB")</f>
        <v>32GB</v>
      </c>
      <c r="J38" s="18">
        <v>1532.2</v>
      </c>
      <c r="K38" s="16">
        <v>1.0</v>
      </c>
      <c r="L38" s="18">
        <v>1532.2</v>
      </c>
      <c r="M38" s="16" t="s">
        <v>2394</v>
      </c>
      <c r="N38" s="16" t="s">
        <v>2395</v>
      </c>
      <c r="O38" s="16" t="s">
        <v>2396</v>
      </c>
    </row>
    <row r="39" ht="15.75" customHeight="1">
      <c r="A39" s="19">
        <v>45594.0</v>
      </c>
      <c r="B39" s="16" t="s">
        <v>58</v>
      </c>
      <c r="C39" s="16" t="str">
        <f t="shared" si="1"/>
        <v>Guadalajara</v>
      </c>
      <c r="D39" s="16" t="str">
        <f t="shared" si="2"/>
        <v>Guadalajara</v>
      </c>
      <c r="E39" s="16" t="str">
        <f t="shared" si="3"/>
        <v>Guadalajara</v>
      </c>
      <c r="F39" s="16" t="s">
        <v>259</v>
      </c>
      <c r="G39" s="17" t="str">
        <f>IFERROR(__xludf.DUMMYFUNCTION("SPLIT(F39:F1038,""-"") "),"Auriculares")</f>
        <v>Auriculares</v>
      </c>
      <c r="H39" s="16" t="str">
        <f>IFERROR(__xludf.DUMMYFUNCTION("""COMPUTED_VALUE"""),"Cancelación de ruido")</f>
        <v>Cancelación de ruido</v>
      </c>
      <c r="I39" s="16" t="str">
        <f>IFERROR(__xludf.DUMMYFUNCTION("""COMPUTED_VALUE"""),"8GB")</f>
        <v>8GB</v>
      </c>
      <c r="J39" s="18">
        <v>1741.09</v>
      </c>
      <c r="K39" s="16">
        <v>4.0</v>
      </c>
      <c r="L39" s="18">
        <v>6964.36</v>
      </c>
      <c r="M39" s="16" t="s">
        <v>724</v>
      </c>
      <c r="N39" s="16" t="s">
        <v>725</v>
      </c>
      <c r="O39" s="16" t="s">
        <v>726</v>
      </c>
    </row>
    <row r="40" ht="15.75" customHeight="1">
      <c r="A40" s="19">
        <v>45640.0</v>
      </c>
      <c r="B40" s="16" t="s">
        <v>75</v>
      </c>
      <c r="C40" s="16" t="str">
        <f t="shared" si="1"/>
        <v>Cali</v>
      </c>
      <c r="D40" s="16" t="str">
        <f t="shared" si="2"/>
        <v>Cali</v>
      </c>
      <c r="E40" s="16" t="str">
        <f t="shared" si="3"/>
        <v>Cali</v>
      </c>
      <c r="F40" s="16" t="s">
        <v>399</v>
      </c>
      <c r="G40" s="17" t="str">
        <f>IFERROR(__xludf.DUMMYFUNCTION("SPLIT(F40:F1039,""-"") "),"Laptop")</f>
        <v>Laptop</v>
      </c>
      <c r="H40" s="16" t="str">
        <f>IFERROR(__xludf.DUMMYFUNCTION("""COMPUTED_VALUE"""),"Gaming")</f>
        <v>Gaming</v>
      </c>
      <c r="I40" s="16" t="str">
        <f>IFERROR(__xludf.DUMMYFUNCTION("""COMPUTED_VALUE"""),"4GB")</f>
        <v>4GB</v>
      </c>
      <c r="J40" s="18">
        <v>2116.69</v>
      </c>
      <c r="K40" s="16">
        <v>2.0</v>
      </c>
      <c r="L40" s="18">
        <v>4233.38</v>
      </c>
      <c r="M40" s="16" t="s">
        <v>1824</v>
      </c>
      <c r="N40" s="16" t="s">
        <v>1825</v>
      </c>
      <c r="O40" s="16" t="s">
        <v>1826</v>
      </c>
    </row>
    <row r="41" ht="15.75" customHeight="1">
      <c r="A41" s="15">
        <v>45577.0</v>
      </c>
      <c r="B41" s="16" t="s">
        <v>58</v>
      </c>
      <c r="C41" s="16" t="str">
        <f t="shared" si="1"/>
        <v>Guadalajara</v>
      </c>
      <c r="D41" s="16" t="str">
        <f t="shared" si="2"/>
        <v>Guadalajara</v>
      </c>
      <c r="E41" s="16" t="str">
        <f t="shared" si="3"/>
        <v>Guadalajara</v>
      </c>
      <c r="F41" s="16" t="s">
        <v>59</v>
      </c>
      <c r="G41" s="17" t="str">
        <f>IFERROR(__xludf.DUMMYFUNCTION("SPLIT(F41:F1040,""-"") "),"Auriculares")</f>
        <v>Auriculares</v>
      </c>
      <c r="H41" s="16" t="str">
        <f>IFERROR(__xludf.DUMMYFUNCTION("""COMPUTED_VALUE"""),"Bluetooth")</f>
        <v>Bluetooth</v>
      </c>
      <c r="I41" s="16" t="str">
        <f>IFERROR(__xludf.DUMMYFUNCTION("""COMPUTED_VALUE"""),"4GB")</f>
        <v>4GB</v>
      </c>
      <c r="J41" s="18">
        <v>1065.52</v>
      </c>
      <c r="K41" s="16">
        <v>2.0</v>
      </c>
      <c r="L41" s="18">
        <v>2131.04</v>
      </c>
      <c r="M41" s="16" t="s">
        <v>150</v>
      </c>
      <c r="N41" s="16" t="s">
        <v>151</v>
      </c>
      <c r="O41" s="16" t="s">
        <v>152</v>
      </c>
    </row>
    <row r="42" ht="15.75" customHeight="1">
      <c r="A42" s="19">
        <v>45302.0</v>
      </c>
      <c r="B42" s="16" t="s">
        <v>14</v>
      </c>
      <c r="C42" s="16" t="str">
        <f t="shared" si="1"/>
        <v>Bogotá</v>
      </c>
      <c r="D42" s="16" t="str">
        <f t="shared" si="2"/>
        <v>Bogotá</v>
      </c>
      <c r="E42" s="16" t="str">
        <f t="shared" si="3"/>
        <v>Bogotá</v>
      </c>
      <c r="F42" s="16" t="s">
        <v>139</v>
      </c>
      <c r="G42" s="17" t="str">
        <f>IFERROR(__xludf.DUMMYFUNCTION("SPLIT(F42:F1041,""-"") "),"Auriculares")</f>
        <v>Auriculares</v>
      </c>
      <c r="H42" s="16" t="str">
        <f>IFERROR(__xludf.DUMMYFUNCTION("""COMPUTED_VALUE"""),"Con cable")</f>
        <v>Con cable</v>
      </c>
      <c r="I42" s="16" t="str">
        <f>IFERROR(__xludf.DUMMYFUNCTION("""COMPUTED_VALUE"""),"16GB")</f>
        <v>16GB</v>
      </c>
      <c r="J42" s="18">
        <v>1919.71</v>
      </c>
      <c r="K42" s="16">
        <v>4.0</v>
      </c>
      <c r="L42" s="18">
        <v>7678.84</v>
      </c>
      <c r="M42" s="16" t="s">
        <v>2397</v>
      </c>
      <c r="N42" s="16" t="s">
        <v>2398</v>
      </c>
      <c r="O42" s="16" t="s">
        <v>2399</v>
      </c>
    </row>
    <row r="43" ht="15.75" customHeight="1">
      <c r="A43" s="19">
        <v>45611.0</v>
      </c>
      <c r="B43" s="16" t="s">
        <v>35</v>
      </c>
      <c r="C43" s="16" t="str">
        <f t="shared" si="1"/>
        <v>Medellín</v>
      </c>
      <c r="D43" s="16" t="str">
        <f t="shared" si="2"/>
        <v>Medellín</v>
      </c>
      <c r="E43" s="16" t="str">
        <f t="shared" si="3"/>
        <v>Medellín</v>
      </c>
      <c r="F43" s="16" t="s">
        <v>132</v>
      </c>
      <c r="G43" s="17" t="str">
        <f>IFERROR(__xludf.DUMMYFUNCTION("SPLIT(F43:F1042,""-"") "),"Tablet")</f>
        <v>Tablet</v>
      </c>
      <c r="H43" s="16" t="str">
        <f>IFERROR(__xludf.DUMMYFUNCTION("""COMPUTED_VALUE"""),"Pro")</f>
        <v>Pro</v>
      </c>
      <c r="I43" s="16" t="str">
        <f>IFERROR(__xludf.DUMMYFUNCTION("""COMPUTED_VALUE"""),"8GB")</f>
        <v>8GB</v>
      </c>
      <c r="J43" s="18">
        <v>450.01</v>
      </c>
      <c r="K43" s="16">
        <v>4.0</v>
      </c>
      <c r="L43" s="18">
        <v>1800.04</v>
      </c>
      <c r="M43" s="16" t="s">
        <v>1110</v>
      </c>
      <c r="N43" s="16" t="s">
        <v>1111</v>
      </c>
      <c r="O43" s="16" t="s">
        <v>1112</v>
      </c>
    </row>
    <row r="44" ht="15.75" customHeight="1">
      <c r="A44" s="15">
        <v>45629.0</v>
      </c>
      <c r="B44" s="16" t="s">
        <v>35</v>
      </c>
      <c r="C44" s="16" t="str">
        <f t="shared" si="1"/>
        <v>Medellín</v>
      </c>
      <c r="D44" s="16" t="str">
        <f t="shared" si="2"/>
        <v>Medellín</v>
      </c>
      <c r="E44" s="16" t="str">
        <f t="shared" si="3"/>
        <v>Medellín</v>
      </c>
      <c r="F44" s="16" t="s">
        <v>90</v>
      </c>
      <c r="G44" s="17" t="str">
        <f>IFERROR(__xludf.DUMMYFUNCTION("SPLIT(F44:F1043,""-"") "),"Laptop")</f>
        <v>Laptop</v>
      </c>
      <c r="H44" s="16" t="str">
        <f>IFERROR(__xludf.DUMMYFUNCTION("""COMPUTED_VALUE"""),"Gaming")</f>
        <v>Gaming</v>
      </c>
      <c r="I44" s="16" t="str">
        <f>IFERROR(__xludf.DUMMYFUNCTION("""COMPUTED_VALUE"""),"32GB")</f>
        <v>32GB</v>
      </c>
      <c r="J44" s="18">
        <v>2294.28</v>
      </c>
      <c r="K44" s="16">
        <v>1.0</v>
      </c>
      <c r="L44" s="18">
        <v>2294.28</v>
      </c>
      <c r="M44" s="16" t="s">
        <v>1652</v>
      </c>
      <c r="N44" s="16" t="s">
        <v>1653</v>
      </c>
      <c r="O44" s="16" t="s">
        <v>1654</v>
      </c>
    </row>
    <row r="45" ht="15.75" customHeight="1">
      <c r="A45" s="19">
        <v>45631.0</v>
      </c>
      <c r="B45" s="16" t="s">
        <v>2359</v>
      </c>
      <c r="C45" s="16" t="str">
        <f t="shared" si="1"/>
        <v>Ciudad De M√©Xico</v>
      </c>
      <c r="D45" s="16" t="str">
        <f t="shared" si="2"/>
        <v>Ciudad De M√©Xico</v>
      </c>
      <c r="E45" s="16" t="str">
        <f t="shared" si="3"/>
        <v>Ciudad De MéXico</v>
      </c>
      <c r="F45" s="16" t="s">
        <v>182</v>
      </c>
      <c r="G45" s="17" t="str">
        <f>IFERROR(__xludf.DUMMYFUNCTION("SPLIT(F45:F1044,""-"") "),"Tablet")</f>
        <v>Tablet</v>
      </c>
      <c r="H45" s="16" t="str">
        <f>IFERROR(__xludf.DUMMYFUNCTION("""COMPUTED_VALUE"""),"Mini")</f>
        <v>Mini</v>
      </c>
      <c r="I45" s="16" t="str">
        <f>IFERROR(__xludf.DUMMYFUNCTION("""COMPUTED_VALUE"""),"4GB")</f>
        <v>4GB</v>
      </c>
      <c r="J45" s="18">
        <v>496.1</v>
      </c>
      <c r="K45" s="16">
        <v>3.0</v>
      </c>
      <c r="L45" s="18">
        <v>1488.3</v>
      </c>
      <c r="M45" s="16" t="s">
        <v>1679</v>
      </c>
      <c r="N45" s="16" t="s">
        <v>1680</v>
      </c>
      <c r="O45" s="16" t="s">
        <v>1681</v>
      </c>
    </row>
    <row r="46" ht="15.75" customHeight="1">
      <c r="A46" s="19" t="s">
        <v>2400</v>
      </c>
      <c r="B46" s="16" t="s">
        <v>2359</v>
      </c>
      <c r="C46" s="16" t="str">
        <f t="shared" si="1"/>
        <v>Ciudad De M√©Xico</v>
      </c>
      <c r="D46" s="16" t="str">
        <f t="shared" si="2"/>
        <v>Ciudad De M√©Xico</v>
      </c>
      <c r="E46" s="16" t="str">
        <f t="shared" si="3"/>
        <v>Ciudad De MéXico</v>
      </c>
      <c r="F46" s="16" t="s">
        <v>233</v>
      </c>
      <c r="G46" s="17" t="str">
        <f>IFERROR(__xludf.DUMMYFUNCTION("SPLIT(F46:F1045,""-"") "),"Tablet")</f>
        <v>Tablet</v>
      </c>
      <c r="H46" s="16" t="str">
        <f>IFERROR(__xludf.DUMMYFUNCTION("""COMPUTED_VALUE"""),"Mini")</f>
        <v>Mini</v>
      </c>
      <c r="I46" s="16" t="str">
        <f>IFERROR(__xludf.DUMMYFUNCTION("""COMPUTED_VALUE"""),"16GB")</f>
        <v>16GB</v>
      </c>
      <c r="J46" s="18">
        <v>1529.1</v>
      </c>
      <c r="K46" s="16">
        <v>1.0</v>
      </c>
      <c r="L46" s="18">
        <v>1529.1</v>
      </c>
      <c r="M46" s="16" t="s">
        <v>2401</v>
      </c>
      <c r="N46" s="16" t="s">
        <v>2402</v>
      </c>
      <c r="O46" s="16" t="s">
        <v>2403</v>
      </c>
    </row>
    <row r="47" ht="15.75" customHeight="1">
      <c r="A47" s="19">
        <v>45626.0</v>
      </c>
      <c r="B47" s="16" t="s">
        <v>35</v>
      </c>
      <c r="C47" s="16" t="str">
        <f t="shared" si="1"/>
        <v>Medellín</v>
      </c>
      <c r="D47" s="16" t="str">
        <f t="shared" si="2"/>
        <v>Medellín</v>
      </c>
      <c r="E47" s="16" t="str">
        <f t="shared" si="3"/>
        <v>Medellín</v>
      </c>
      <c r="F47" s="16" t="s">
        <v>81</v>
      </c>
      <c r="G47" s="17" t="str">
        <f>IFERROR(__xludf.DUMMYFUNCTION("SPLIT(F47:F1046,""-"") "),"Laptop")</f>
        <v>Laptop</v>
      </c>
      <c r="H47" s="16" t="str">
        <f>IFERROR(__xludf.DUMMYFUNCTION("""COMPUTED_VALUE"""),"Oficina")</f>
        <v>Oficina</v>
      </c>
      <c r="I47" s="16" t="str">
        <f>IFERROR(__xludf.DUMMYFUNCTION("""COMPUTED_VALUE"""),"16GB")</f>
        <v>16GB</v>
      </c>
      <c r="J47" s="18">
        <v>2256.04</v>
      </c>
      <c r="K47" s="16">
        <v>5.0</v>
      </c>
      <c r="L47" s="18">
        <v>11280.2</v>
      </c>
      <c r="M47" s="16" t="s">
        <v>1611</v>
      </c>
      <c r="N47" s="16" t="s">
        <v>1612</v>
      </c>
      <c r="O47" s="16" t="s">
        <v>1613</v>
      </c>
    </row>
    <row r="48" ht="15.75" customHeight="1">
      <c r="A48" s="15">
        <v>45649.0</v>
      </c>
      <c r="B48" s="16" t="s">
        <v>58</v>
      </c>
      <c r="C48" s="16" t="str">
        <f t="shared" si="1"/>
        <v>Guadalajara</v>
      </c>
      <c r="D48" s="16" t="str">
        <f t="shared" si="2"/>
        <v>Guadalajara</v>
      </c>
      <c r="E48" s="16" t="str">
        <f t="shared" si="3"/>
        <v>Guadalajara</v>
      </c>
      <c r="F48" s="16" t="s">
        <v>67</v>
      </c>
      <c r="G48" s="17" t="str">
        <f>IFERROR(__xludf.DUMMYFUNCTION("SPLIT(F48:F1047,""-"") "),"Tablet")</f>
        <v>Tablet</v>
      </c>
      <c r="H48" s="16" t="str">
        <f>IFERROR(__xludf.DUMMYFUNCTION("""COMPUTED_VALUE"""),"Estándar")</f>
        <v>Estándar</v>
      </c>
      <c r="I48" s="16" t="str">
        <f>IFERROR(__xludf.DUMMYFUNCTION("""COMPUTED_VALUE"""),"4GB")</f>
        <v>4GB</v>
      </c>
      <c r="J48" s="18">
        <v>625.26</v>
      </c>
      <c r="K48" s="16">
        <v>5.0</v>
      </c>
      <c r="L48" s="18">
        <v>3126.3</v>
      </c>
      <c r="M48" s="16" t="s">
        <v>2090</v>
      </c>
      <c r="N48" s="16" t="s">
        <v>2091</v>
      </c>
      <c r="O48" s="16" t="s">
        <v>2092</v>
      </c>
    </row>
    <row r="49" ht="15.75" customHeight="1">
      <c r="A49" s="19">
        <v>45607.0</v>
      </c>
      <c r="B49" s="16" t="s">
        <v>75</v>
      </c>
      <c r="C49" s="16" t="str">
        <f t="shared" si="1"/>
        <v>Cali</v>
      </c>
      <c r="D49" s="16" t="str">
        <f t="shared" si="2"/>
        <v>Cali</v>
      </c>
      <c r="E49" s="16" t="str">
        <f t="shared" si="3"/>
        <v>Cali</v>
      </c>
      <c r="F49" s="16" t="s">
        <v>190</v>
      </c>
      <c r="G49" s="17" t="str">
        <f>IFERROR(__xludf.DUMMYFUNCTION("SPLIT(F49:F1048,""-"") "),"Laptop")</f>
        <v>Laptop</v>
      </c>
      <c r="H49" s="16" t="str">
        <f>IFERROR(__xludf.DUMMYFUNCTION("""COMPUTED_VALUE"""),"Ultraliviana")</f>
        <v>Ultraliviana</v>
      </c>
      <c r="I49" s="16" t="str">
        <f>IFERROR(__xludf.DUMMYFUNCTION("""COMPUTED_VALUE"""),"16GB")</f>
        <v>16GB</v>
      </c>
      <c r="J49" s="18">
        <v>1933.07</v>
      </c>
      <c r="K49" s="16">
        <v>3.0</v>
      </c>
      <c r="L49" s="18">
        <v>5799.21</v>
      </c>
      <c r="M49" s="16" t="s">
        <v>972</v>
      </c>
      <c r="N49" s="16" t="s">
        <v>973</v>
      </c>
      <c r="O49" s="16" t="s">
        <v>974</v>
      </c>
    </row>
    <row r="50" ht="15.75" customHeight="1">
      <c r="A50" s="19">
        <v>45597.0</v>
      </c>
      <c r="B50" s="16" t="s">
        <v>799</v>
      </c>
      <c r="C50" s="16" t="str">
        <f t="shared" si="1"/>
        <v>Cali.  </v>
      </c>
      <c r="D50" s="16" t="str">
        <f t="shared" si="2"/>
        <v>Cali.</v>
      </c>
      <c r="E50" s="16" t="str">
        <f t="shared" si="3"/>
        <v>Cali.</v>
      </c>
      <c r="F50" s="16" t="s">
        <v>272</v>
      </c>
      <c r="G50" s="17" t="str">
        <f>IFERROR(__xludf.DUMMYFUNCTION("SPLIT(F50:F1049,""-"") "),"Teléfono")</f>
        <v>Teléfono</v>
      </c>
      <c r="H50" s="16" t="str">
        <f>IFERROR(__xludf.DUMMYFUNCTION("""COMPUTED_VALUE"""),"Gama baja")</f>
        <v>Gama baja</v>
      </c>
      <c r="I50" s="16" t="str">
        <f>IFERROR(__xludf.DUMMYFUNCTION("""COMPUTED_VALUE"""),"32GB")</f>
        <v>32GB</v>
      </c>
      <c r="J50" s="18">
        <v>434.9</v>
      </c>
      <c r="K50" s="16">
        <v>1.0</v>
      </c>
      <c r="L50" s="18">
        <v>434.9</v>
      </c>
      <c r="M50" s="16" t="s">
        <v>800</v>
      </c>
      <c r="N50" s="16" t="s">
        <v>801</v>
      </c>
      <c r="O50" s="16" t="s">
        <v>802</v>
      </c>
    </row>
    <row r="51" ht="15.75" customHeight="1">
      <c r="A51" s="15">
        <v>45596.0</v>
      </c>
      <c r="B51" s="16" t="s">
        <v>89</v>
      </c>
      <c r="C51" s="16" t="str">
        <f t="shared" si="1"/>
        <v>Tulum</v>
      </c>
      <c r="D51" s="16" t="str">
        <f t="shared" si="2"/>
        <v>Tulum</v>
      </c>
      <c r="E51" s="16" t="str">
        <f t="shared" si="3"/>
        <v>Tulum</v>
      </c>
      <c r="F51" s="16" t="s">
        <v>163</v>
      </c>
      <c r="G51" s="17" t="str">
        <f>IFERROR(__xludf.DUMMYFUNCTION("SPLIT(F51:F1050,""-"") "),"Laptop")</f>
        <v>Laptop</v>
      </c>
      <c r="H51" s="16" t="str">
        <f>IFERROR(__xludf.DUMMYFUNCTION("""COMPUTED_VALUE"""),"Oficina")</f>
        <v>Oficina</v>
      </c>
      <c r="I51" s="16" t="str">
        <f>IFERROR(__xludf.DUMMYFUNCTION("""COMPUTED_VALUE"""),"32GB")</f>
        <v>32GB</v>
      </c>
      <c r="J51" s="18">
        <v>1889.28</v>
      </c>
      <c r="K51" s="16">
        <v>4.0</v>
      </c>
      <c r="L51" s="18">
        <v>7557.12</v>
      </c>
      <c r="M51" s="16" t="s">
        <v>781</v>
      </c>
      <c r="N51" s="16" t="s">
        <v>782</v>
      </c>
      <c r="O51" s="16" t="s">
        <v>783</v>
      </c>
    </row>
    <row r="52" ht="15.75" customHeight="1">
      <c r="A52" s="19">
        <v>45636.0</v>
      </c>
      <c r="B52" s="16" t="s">
        <v>9</v>
      </c>
      <c r="C52" s="16" t="str">
        <f t="shared" si="1"/>
        <v>Monterrey</v>
      </c>
      <c r="D52" s="16" t="str">
        <f t="shared" si="2"/>
        <v>Monterrey</v>
      </c>
      <c r="E52" s="16" t="str">
        <f t="shared" si="3"/>
        <v>Monterrey</v>
      </c>
      <c r="F52" s="16" t="s">
        <v>163</v>
      </c>
      <c r="G52" s="17" t="str">
        <f>IFERROR(__xludf.DUMMYFUNCTION("SPLIT(F52:F1051,""-"") "),"Laptop")</f>
        <v>Laptop</v>
      </c>
      <c r="H52" s="16" t="str">
        <f>IFERROR(__xludf.DUMMYFUNCTION("""COMPUTED_VALUE"""),"Oficina")</f>
        <v>Oficina</v>
      </c>
      <c r="I52" s="16" t="str">
        <f>IFERROR(__xludf.DUMMYFUNCTION("""COMPUTED_VALUE"""),"32GB")</f>
        <v>32GB</v>
      </c>
      <c r="J52" s="18">
        <v>1708.81</v>
      </c>
      <c r="K52" s="16">
        <v>1.0</v>
      </c>
      <c r="L52" s="18">
        <v>1708.81</v>
      </c>
      <c r="M52" s="16" t="s">
        <v>1730</v>
      </c>
      <c r="N52" s="16" t="s">
        <v>1731</v>
      </c>
      <c r="O52" s="16" t="s">
        <v>1732</v>
      </c>
    </row>
    <row r="53" ht="15.75" customHeight="1">
      <c r="A53" s="19">
        <v>45587.0</v>
      </c>
      <c r="B53" s="16" t="s">
        <v>2359</v>
      </c>
      <c r="C53" s="16" t="str">
        <f t="shared" si="1"/>
        <v>Ciudad De M√©Xico</v>
      </c>
      <c r="D53" s="16" t="str">
        <f t="shared" si="2"/>
        <v>Ciudad De M√©Xico</v>
      </c>
      <c r="E53" s="16" t="str">
        <f t="shared" si="3"/>
        <v>Ciudad De MéXico</v>
      </c>
      <c r="F53" s="16" t="s">
        <v>507</v>
      </c>
      <c r="G53" s="17" t="str">
        <f>IFERROR(__xludf.DUMMYFUNCTION("SPLIT(F53:F1052,""-"") "),"Laptop")</f>
        <v>Laptop</v>
      </c>
      <c r="H53" s="16" t="str">
        <f>IFERROR(__xludf.DUMMYFUNCTION("""COMPUTED_VALUE"""),"Oficina")</f>
        <v>Oficina</v>
      </c>
      <c r="I53" s="16" t="str">
        <f>IFERROR(__xludf.DUMMYFUNCTION("""COMPUTED_VALUE"""),"8GB ")</f>
        <v>8GB </v>
      </c>
      <c r="J53" s="18">
        <v>1524.07</v>
      </c>
      <c r="K53" s="16">
        <v>1.0</v>
      </c>
      <c r="L53" s="18">
        <v>1524.07</v>
      </c>
      <c r="M53" s="16" t="s">
        <v>508</v>
      </c>
      <c r="N53" s="16" t="s">
        <v>509</v>
      </c>
      <c r="O53" s="16" t="s">
        <v>510</v>
      </c>
    </row>
    <row r="54" ht="15.75" customHeight="1">
      <c r="A54" s="15">
        <v>45654.0</v>
      </c>
      <c r="B54" s="16" t="s">
        <v>9</v>
      </c>
      <c r="C54" s="16" t="str">
        <f t="shared" si="1"/>
        <v>Monterrey</v>
      </c>
      <c r="D54" s="16" t="str">
        <f t="shared" si="2"/>
        <v>Monterrey</v>
      </c>
      <c r="E54" s="16" t="str">
        <f t="shared" si="3"/>
        <v>Monterrey</v>
      </c>
      <c r="F54" s="16" t="s">
        <v>63</v>
      </c>
      <c r="G54" s="17" t="str">
        <f>IFERROR(__xludf.DUMMYFUNCTION("SPLIT(F54:F1053,""-"") "),"Laptop")</f>
        <v>Laptop</v>
      </c>
      <c r="H54" s="16" t="str">
        <f>IFERROR(__xludf.DUMMYFUNCTION("""COMPUTED_VALUE"""),"Ultraliviana")</f>
        <v>Ultraliviana</v>
      </c>
      <c r="I54" s="16" t="str">
        <f>IFERROR(__xludf.DUMMYFUNCTION("""COMPUTED_VALUE"""),"4GB")</f>
        <v>4GB</v>
      </c>
      <c r="J54" s="18">
        <v>372.92</v>
      </c>
      <c r="K54" s="16">
        <v>3.0</v>
      </c>
      <c r="L54" s="18">
        <v>1118.76</v>
      </c>
      <c r="M54" s="16" t="s">
        <v>2234</v>
      </c>
      <c r="N54" s="16" t="s">
        <v>2235</v>
      </c>
      <c r="O54" s="16" t="s">
        <v>2236</v>
      </c>
    </row>
    <row r="55" ht="15.75" customHeight="1">
      <c r="A55" s="15">
        <v>45573.0</v>
      </c>
      <c r="B55" s="16" t="s">
        <v>35</v>
      </c>
      <c r="C55" s="16" t="str">
        <f t="shared" si="1"/>
        <v>Medellín</v>
      </c>
      <c r="D55" s="16" t="str">
        <f t="shared" si="2"/>
        <v>Medellín</v>
      </c>
      <c r="E55" s="16" t="str">
        <f t="shared" si="3"/>
        <v>Medellín</v>
      </c>
      <c r="F55" s="16" t="s">
        <v>67</v>
      </c>
      <c r="G55" s="17" t="str">
        <f>IFERROR(__xludf.DUMMYFUNCTION("SPLIT(F55:F1054,""-"") "),"Tablet")</f>
        <v>Tablet</v>
      </c>
      <c r="H55" s="16" t="str">
        <f>IFERROR(__xludf.DUMMYFUNCTION("""COMPUTED_VALUE"""),"Estándar")</f>
        <v>Estándar</v>
      </c>
      <c r="I55" s="16" t="str">
        <f>IFERROR(__xludf.DUMMYFUNCTION("""COMPUTED_VALUE"""),"4GB")</f>
        <v>4GB</v>
      </c>
      <c r="J55" s="18">
        <v>2168.25</v>
      </c>
      <c r="K55" s="16">
        <v>3.0</v>
      </c>
      <c r="L55" s="18">
        <v>6504.75</v>
      </c>
      <c r="M55" s="16" t="s">
        <v>68</v>
      </c>
      <c r="N55" s="16" t="s">
        <v>69</v>
      </c>
      <c r="O55" s="16" t="s">
        <v>70</v>
      </c>
    </row>
    <row r="56" ht="15.75" customHeight="1">
      <c r="A56" s="19">
        <v>45580.0</v>
      </c>
      <c r="B56" s="16" t="s">
        <v>9</v>
      </c>
      <c r="C56" s="16" t="str">
        <f t="shared" si="1"/>
        <v>Monterrey</v>
      </c>
      <c r="D56" s="16" t="str">
        <f t="shared" si="2"/>
        <v>Monterrey</v>
      </c>
      <c r="E56" s="16" t="str">
        <f t="shared" si="3"/>
        <v>Monterrey</v>
      </c>
      <c r="F56" s="16" t="s">
        <v>259</v>
      </c>
      <c r="G56" s="17" t="str">
        <f>IFERROR(__xludf.DUMMYFUNCTION("SPLIT(F56:F1055,""-"") "),"Auriculares")</f>
        <v>Auriculares</v>
      </c>
      <c r="H56" s="16" t="str">
        <f>IFERROR(__xludf.DUMMYFUNCTION("""COMPUTED_VALUE"""),"Cancelación de ruido")</f>
        <v>Cancelación de ruido</v>
      </c>
      <c r="I56" s="16" t="str">
        <f>IFERROR(__xludf.DUMMYFUNCTION("""COMPUTED_VALUE"""),"8GB")</f>
        <v>8GB</v>
      </c>
      <c r="J56" s="18">
        <v>882.55</v>
      </c>
      <c r="K56" s="16">
        <v>5.0</v>
      </c>
      <c r="L56" s="18">
        <v>4412.75</v>
      </c>
      <c r="M56" s="16" t="s">
        <v>260</v>
      </c>
      <c r="N56" s="16" t="s">
        <v>261</v>
      </c>
      <c r="O56" s="16" t="s">
        <v>262</v>
      </c>
    </row>
    <row r="57" ht="15.75" customHeight="1">
      <c r="A57" s="19">
        <v>45644.0</v>
      </c>
      <c r="B57" s="16" t="s">
        <v>14</v>
      </c>
      <c r="C57" s="16" t="str">
        <f t="shared" si="1"/>
        <v>Bogotá</v>
      </c>
      <c r="D57" s="16" t="str">
        <f t="shared" si="2"/>
        <v>Bogotá</v>
      </c>
      <c r="E57" s="16" t="str">
        <f t="shared" si="3"/>
        <v>Bogotá</v>
      </c>
      <c r="F57" s="16" t="s">
        <v>190</v>
      </c>
      <c r="G57" s="17" t="str">
        <f>IFERROR(__xludf.DUMMYFUNCTION("SPLIT(F57:F1056,""-"") "),"Laptop")</f>
        <v>Laptop</v>
      </c>
      <c r="H57" s="16" t="str">
        <f>IFERROR(__xludf.DUMMYFUNCTION("""COMPUTED_VALUE"""),"Ultraliviana")</f>
        <v>Ultraliviana</v>
      </c>
      <c r="I57" s="16" t="str">
        <f>IFERROR(__xludf.DUMMYFUNCTION("""COMPUTED_VALUE"""),"16GB")</f>
        <v>16GB</v>
      </c>
      <c r="J57" s="18">
        <v>602.68</v>
      </c>
      <c r="K57" s="16">
        <v>3.0</v>
      </c>
      <c r="L57" s="18">
        <v>1808.04</v>
      </c>
      <c r="M57" s="16" t="s">
        <v>1936</v>
      </c>
      <c r="N57" s="16" t="s">
        <v>1937</v>
      </c>
      <c r="O57" s="16" t="s">
        <v>1938</v>
      </c>
    </row>
    <row r="58" ht="15.75" customHeight="1">
      <c r="A58" s="19">
        <v>45613.0</v>
      </c>
      <c r="B58" s="16" t="s">
        <v>35</v>
      </c>
      <c r="C58" s="16" t="str">
        <f t="shared" si="1"/>
        <v>Medellín</v>
      </c>
      <c r="D58" s="16" t="str">
        <f t="shared" si="2"/>
        <v>Medellín</v>
      </c>
      <c r="E58" s="16" t="str">
        <f t="shared" si="3"/>
        <v>Medellín</v>
      </c>
      <c r="F58" s="16" t="s">
        <v>839</v>
      </c>
      <c r="G58" s="17" t="str">
        <f>IFERROR(__xludf.DUMMYFUNCTION("SPLIT(F58:F1057,""-"") "),"Teléfono")</f>
        <v>Teléfono</v>
      </c>
      <c r="H58" s="16" t="str">
        <f>IFERROR(__xludf.DUMMYFUNCTION("""COMPUTED_VALUE"""),"Gama alta")</f>
        <v>Gama alta</v>
      </c>
      <c r="I58" s="16" t="str">
        <f>IFERROR(__xludf.DUMMYFUNCTION("""COMPUTED_VALUE"""),"32GB ")</f>
        <v>32GB </v>
      </c>
      <c r="J58" s="18">
        <v>2405.31</v>
      </c>
      <c r="K58" s="16">
        <v>5.0</v>
      </c>
      <c r="L58" s="22">
        <f>(J58*K58)</f>
        <v>12026.55</v>
      </c>
      <c r="M58" s="16" t="s">
        <v>1197</v>
      </c>
      <c r="N58" s="16" t="s">
        <v>1198</v>
      </c>
      <c r="O58" s="16" t="s">
        <v>1199</v>
      </c>
    </row>
    <row r="59" ht="15.75" customHeight="1">
      <c r="A59" s="15">
        <v>45621.0</v>
      </c>
      <c r="B59" s="16" t="s">
        <v>58</v>
      </c>
      <c r="C59" s="16" t="str">
        <f t="shared" si="1"/>
        <v>Guadalajara</v>
      </c>
      <c r="D59" s="16" t="str">
        <f t="shared" si="2"/>
        <v>Guadalajara</v>
      </c>
      <c r="E59" s="16" t="str">
        <f t="shared" si="3"/>
        <v>Guadalajara</v>
      </c>
      <c r="F59" s="16" t="s">
        <v>71</v>
      </c>
      <c r="G59" s="17" t="str">
        <f>IFERROR(__xludf.DUMMYFUNCTION("SPLIT(F59:F1058,""-"") "),"Auriculares")</f>
        <v>Auriculares</v>
      </c>
      <c r="H59" s="16" t="str">
        <f>IFERROR(__xludf.DUMMYFUNCTION("""COMPUTED_VALUE"""),"Bluetooth")</f>
        <v>Bluetooth</v>
      </c>
      <c r="I59" s="16" t="str">
        <f>IFERROR(__xludf.DUMMYFUNCTION("""COMPUTED_VALUE"""),"16GB")</f>
        <v>16GB</v>
      </c>
      <c r="J59" s="18">
        <v>564.69</v>
      </c>
      <c r="K59" s="16">
        <v>2.0</v>
      </c>
      <c r="L59" s="18">
        <v>1129.38</v>
      </c>
      <c r="M59" s="16" t="s">
        <v>1465</v>
      </c>
      <c r="N59" s="16" t="s">
        <v>1466</v>
      </c>
      <c r="O59" s="16" t="s">
        <v>1467</v>
      </c>
    </row>
    <row r="60" ht="15.75" customHeight="1">
      <c r="A60" s="19">
        <v>45646.0</v>
      </c>
      <c r="B60" s="16" t="s">
        <v>75</v>
      </c>
      <c r="C60" s="16" t="str">
        <f t="shared" si="1"/>
        <v>Cali</v>
      </c>
      <c r="D60" s="16" t="str">
        <f t="shared" si="2"/>
        <v>Cali</v>
      </c>
      <c r="E60" s="16" t="str">
        <f t="shared" si="3"/>
        <v>Cali</v>
      </c>
      <c r="F60" s="16" t="s">
        <v>218</v>
      </c>
      <c r="G60" s="17" t="str">
        <f>IFERROR(__xludf.DUMMYFUNCTION("SPLIT(F60:F1059,""-"") "),"Teléfono")</f>
        <v>Teléfono</v>
      </c>
      <c r="H60" s="16" t="str">
        <f>IFERROR(__xludf.DUMMYFUNCTION("""COMPUTED_VALUE"""),"Gama media")</f>
        <v>Gama media</v>
      </c>
      <c r="I60" s="16" t="str">
        <f>IFERROR(__xludf.DUMMYFUNCTION("""COMPUTED_VALUE"""),"4GB")</f>
        <v>4GB</v>
      </c>
      <c r="J60" s="18">
        <v>2373.12</v>
      </c>
      <c r="K60" s="16">
        <v>2.0</v>
      </c>
      <c r="L60" s="18">
        <v>4746.24</v>
      </c>
      <c r="M60" s="16" t="s">
        <v>2005</v>
      </c>
      <c r="N60" s="16" t="s">
        <v>2006</v>
      </c>
      <c r="O60" s="16" t="s">
        <v>2007</v>
      </c>
    </row>
    <row r="61" ht="15.75" customHeight="1">
      <c r="A61" s="19">
        <v>45575.0</v>
      </c>
      <c r="B61" s="16" t="s">
        <v>2404</v>
      </c>
      <c r="C61" s="16" t="str">
        <f t="shared" si="1"/>
        <v>Bogot√Å</v>
      </c>
      <c r="D61" s="16" t="str">
        <f t="shared" si="2"/>
        <v>Bogot√Å</v>
      </c>
      <c r="E61" s="16" t="str">
        <f t="shared" si="3"/>
        <v>Bogot√Å</v>
      </c>
      <c r="F61" s="16" t="s">
        <v>81</v>
      </c>
      <c r="G61" s="17" t="str">
        <f>IFERROR(__xludf.DUMMYFUNCTION("SPLIT(F61:F1060,""-"") "),"Laptop")</f>
        <v>Laptop</v>
      </c>
      <c r="H61" s="16" t="str">
        <f>IFERROR(__xludf.DUMMYFUNCTION("""COMPUTED_VALUE"""),"Oficina")</f>
        <v>Oficina</v>
      </c>
      <c r="I61" s="16" t="str">
        <f>IFERROR(__xludf.DUMMYFUNCTION("""COMPUTED_VALUE"""),"16GB")</f>
        <v>16GB</v>
      </c>
      <c r="J61" s="18">
        <v>278.37</v>
      </c>
      <c r="K61" s="16">
        <v>3.0</v>
      </c>
      <c r="L61" s="18">
        <v>835.11</v>
      </c>
      <c r="M61" s="16" t="s">
        <v>82</v>
      </c>
      <c r="N61" s="16" t="s">
        <v>83</v>
      </c>
      <c r="O61" s="16" t="s">
        <v>84</v>
      </c>
    </row>
    <row r="62" ht="15.75" customHeight="1">
      <c r="A62" s="15">
        <v>45633.0</v>
      </c>
      <c r="B62" s="16" t="s">
        <v>9</v>
      </c>
      <c r="C62" s="16" t="str">
        <f t="shared" si="1"/>
        <v>Monterrey</v>
      </c>
      <c r="D62" s="16" t="str">
        <f t="shared" si="2"/>
        <v>Monterrey</v>
      </c>
      <c r="E62" s="16" t="str">
        <f t="shared" si="3"/>
        <v>Monterrey</v>
      </c>
      <c r="F62" s="16" t="s">
        <v>399</v>
      </c>
      <c r="G62" s="17" t="str">
        <f>IFERROR(__xludf.DUMMYFUNCTION("SPLIT(F62:F1061,""-"") "),"Laptop")</f>
        <v>Laptop</v>
      </c>
      <c r="H62" s="16" t="str">
        <f>IFERROR(__xludf.DUMMYFUNCTION("""COMPUTED_VALUE"""),"Gaming")</f>
        <v>Gaming</v>
      </c>
      <c r="I62" s="16" t="str">
        <f>IFERROR(__xludf.DUMMYFUNCTION("""COMPUTED_VALUE"""),"4GB")</f>
        <v>4GB</v>
      </c>
      <c r="J62" s="18">
        <v>1636.89</v>
      </c>
      <c r="K62" s="16">
        <v>2.0</v>
      </c>
      <c r="L62" s="18">
        <v>3273.78</v>
      </c>
      <c r="M62" s="16" t="s">
        <v>1700</v>
      </c>
      <c r="N62" s="16" t="s">
        <v>1701</v>
      </c>
      <c r="O62" s="16" t="s">
        <v>1702</v>
      </c>
    </row>
    <row r="63" ht="15.75" customHeight="1">
      <c r="A63" s="19">
        <v>45609.0</v>
      </c>
      <c r="B63" s="16" t="s">
        <v>14</v>
      </c>
      <c r="C63" s="16" t="str">
        <f t="shared" si="1"/>
        <v>Bogotá</v>
      </c>
      <c r="D63" s="16" t="str">
        <f t="shared" si="2"/>
        <v>Bogotá</v>
      </c>
      <c r="E63" s="16" t="str">
        <f t="shared" si="3"/>
        <v>Bogotá</v>
      </c>
      <c r="F63" s="16" t="s">
        <v>59</v>
      </c>
      <c r="G63" s="17" t="str">
        <f>IFERROR(__xludf.DUMMYFUNCTION("SPLIT(F63:F1062,""-"") "),"Auriculares")</f>
        <v>Auriculares</v>
      </c>
      <c r="H63" s="16" t="str">
        <f>IFERROR(__xludf.DUMMYFUNCTION("""COMPUTED_VALUE"""),"Bluetooth")</f>
        <v>Bluetooth</v>
      </c>
      <c r="I63" s="16" t="str">
        <f>IFERROR(__xludf.DUMMYFUNCTION("""COMPUTED_VALUE"""),"4GB")</f>
        <v>4GB</v>
      </c>
      <c r="J63" s="22">
        <f>(L63/K63) </f>
        <v>1787.41</v>
      </c>
      <c r="K63" s="16">
        <v>1.0</v>
      </c>
      <c r="L63" s="18">
        <v>1787.41</v>
      </c>
      <c r="M63" s="16" t="s">
        <v>1036</v>
      </c>
      <c r="N63" s="16" t="s">
        <v>1037</v>
      </c>
      <c r="O63" s="16" t="s">
        <v>1038</v>
      </c>
    </row>
    <row r="64" ht="15.75" customHeight="1">
      <c r="A64" s="19">
        <v>45628.0</v>
      </c>
      <c r="B64" s="16" t="s">
        <v>116</v>
      </c>
      <c r="C64" s="16" t="str">
        <f t="shared" si="1"/>
        <v>Guadalajara</v>
      </c>
      <c r="D64" s="16" t="str">
        <f t="shared" si="2"/>
        <v>Guadalajara</v>
      </c>
      <c r="E64" s="16" t="str">
        <f t="shared" si="3"/>
        <v>Guadalajara</v>
      </c>
      <c r="F64" s="16" t="s">
        <v>233</v>
      </c>
      <c r="G64" s="17" t="str">
        <f>IFERROR(__xludf.DUMMYFUNCTION("SPLIT(F64:F1063,""-"") "),"Tablet")</f>
        <v>Tablet</v>
      </c>
      <c r="H64" s="16" t="str">
        <f>IFERROR(__xludf.DUMMYFUNCTION("""COMPUTED_VALUE"""),"Mini")</f>
        <v>Mini</v>
      </c>
      <c r="I64" s="16" t="str">
        <f>IFERROR(__xludf.DUMMYFUNCTION("""COMPUTED_VALUE"""),"16GB")</f>
        <v>16GB</v>
      </c>
      <c r="J64" s="18">
        <v>218.94</v>
      </c>
      <c r="K64" s="16">
        <v>3.0</v>
      </c>
      <c r="L64" s="18">
        <v>656.82</v>
      </c>
      <c r="M64" s="16" t="s">
        <v>1646</v>
      </c>
      <c r="N64" s="16" t="s">
        <v>1647</v>
      </c>
      <c r="O64" s="16" t="s">
        <v>1648</v>
      </c>
    </row>
    <row r="65" ht="15.75" customHeight="1">
      <c r="A65" s="15">
        <v>45615.0</v>
      </c>
      <c r="B65" s="16" t="s">
        <v>9</v>
      </c>
      <c r="C65" s="16" t="str">
        <f t="shared" si="1"/>
        <v>Monterrey</v>
      </c>
      <c r="D65" s="16" t="str">
        <f t="shared" si="2"/>
        <v>Monterrey</v>
      </c>
      <c r="E65" s="16" t="str">
        <f t="shared" si="3"/>
        <v>Monterrey</v>
      </c>
      <c r="F65" s="16" t="s">
        <v>63</v>
      </c>
      <c r="G65" s="17" t="str">
        <f>IFERROR(__xludf.DUMMYFUNCTION("SPLIT(F65:F1064,""-"") "),"Laptop")</f>
        <v>Laptop</v>
      </c>
      <c r="H65" s="16" t="str">
        <f>IFERROR(__xludf.DUMMYFUNCTION("""COMPUTED_VALUE"""),"Ultraliviana")</f>
        <v>Ultraliviana</v>
      </c>
      <c r="I65" s="16" t="str">
        <f>IFERROR(__xludf.DUMMYFUNCTION("""COMPUTED_VALUE"""),"4GB")</f>
        <v>4GB</v>
      </c>
      <c r="J65" s="18">
        <v>1077.1</v>
      </c>
      <c r="K65" s="16">
        <v>5.0</v>
      </c>
      <c r="L65" s="18">
        <v>5385.5</v>
      </c>
      <c r="M65" s="16" t="s">
        <v>1260</v>
      </c>
      <c r="N65" s="16" t="s">
        <v>1261</v>
      </c>
      <c r="O65" s="16" t="s">
        <v>1262</v>
      </c>
    </row>
    <row r="66" ht="15.75" customHeight="1">
      <c r="A66" s="19" t="s">
        <v>2405</v>
      </c>
      <c r="B66" s="16" t="s">
        <v>2359</v>
      </c>
      <c r="C66" s="16" t="str">
        <f t="shared" si="1"/>
        <v>Ciudad De M√©Xico</v>
      </c>
      <c r="D66" s="16" t="str">
        <f t="shared" si="2"/>
        <v>Ciudad De M√©Xico</v>
      </c>
      <c r="E66" s="16" t="str">
        <f t="shared" si="3"/>
        <v>Ciudad De MéXico</v>
      </c>
      <c r="F66" s="16" t="s">
        <v>229</v>
      </c>
      <c r="G66" s="17" t="str">
        <f>IFERROR(__xludf.DUMMYFUNCTION("SPLIT(F66:F1065,""-"") "),"Laptop")</f>
        <v>Laptop</v>
      </c>
      <c r="H66" s="16" t="str">
        <f>IFERROR(__xludf.DUMMYFUNCTION("""COMPUTED_VALUE"""),"Oficina")</f>
        <v>Oficina</v>
      </c>
      <c r="I66" s="16" t="str">
        <f>IFERROR(__xludf.DUMMYFUNCTION("""COMPUTED_VALUE"""),"4GB")</f>
        <v>4GB</v>
      </c>
      <c r="J66" s="18">
        <v>2297.78</v>
      </c>
      <c r="K66" s="16">
        <v>4.0</v>
      </c>
      <c r="L66" s="18">
        <v>9191.12</v>
      </c>
      <c r="M66" s="16" t="s">
        <v>2406</v>
      </c>
      <c r="N66" s="16" t="s">
        <v>2407</v>
      </c>
      <c r="O66" s="16" t="s">
        <v>2408</v>
      </c>
    </row>
    <row r="67" ht="15.75" customHeight="1">
      <c r="A67" s="19">
        <v>45603.0</v>
      </c>
      <c r="B67" s="16" t="s">
        <v>2359</v>
      </c>
      <c r="C67" s="16" t="str">
        <f t="shared" si="1"/>
        <v>Ciudad De M√©Xico</v>
      </c>
      <c r="D67" s="16" t="str">
        <f t="shared" si="2"/>
        <v>Ciudad De M√©Xico</v>
      </c>
      <c r="E67" s="16" t="str">
        <f t="shared" si="3"/>
        <v>Ciudad De MéXico</v>
      </c>
      <c r="F67" s="16" t="s">
        <v>67</v>
      </c>
      <c r="G67" s="17" t="str">
        <f>IFERROR(__xludf.DUMMYFUNCTION("SPLIT(F67:F1066,""-"") "),"Tablet")</f>
        <v>Tablet</v>
      </c>
      <c r="H67" s="16" t="str">
        <f>IFERROR(__xludf.DUMMYFUNCTION("""COMPUTED_VALUE"""),"Estándar")</f>
        <v>Estándar</v>
      </c>
      <c r="I67" s="16" t="str">
        <f>IFERROR(__xludf.DUMMYFUNCTION("""COMPUTED_VALUE"""),"4GB")</f>
        <v>4GB</v>
      </c>
      <c r="J67" s="18">
        <v>127.95</v>
      </c>
      <c r="K67" s="16">
        <v>4.0</v>
      </c>
      <c r="L67" s="18">
        <v>511.8</v>
      </c>
      <c r="M67" s="16" t="s">
        <v>867</v>
      </c>
      <c r="N67" s="16" t="s">
        <v>868</v>
      </c>
      <c r="O67" s="16" t="s">
        <v>869</v>
      </c>
    </row>
    <row r="68" ht="15.75" customHeight="1">
      <c r="A68" s="15">
        <v>45657.0</v>
      </c>
      <c r="B68" s="16" t="s">
        <v>75</v>
      </c>
      <c r="C68" s="16" t="str">
        <f t="shared" si="1"/>
        <v>Cali</v>
      </c>
      <c r="D68" s="16" t="str">
        <f t="shared" si="2"/>
        <v>Cali</v>
      </c>
      <c r="E68" s="16" t="str">
        <f t="shared" si="3"/>
        <v>Cali</v>
      </c>
      <c r="F68" s="16" t="s">
        <v>430</v>
      </c>
      <c r="G68" s="17" t="str">
        <f>IFERROR(__xludf.DUMMYFUNCTION("SPLIT(F68:F1067,""-"") "),"Teléfono")</f>
        <v>Teléfono</v>
      </c>
      <c r="H68" s="16" t="str">
        <f>IFERROR(__xludf.DUMMYFUNCTION("""COMPUTED_VALUE"""),"Gama alta")</f>
        <v>Gama alta</v>
      </c>
      <c r="I68" s="16" t="str">
        <f>IFERROR(__xludf.DUMMYFUNCTION("""COMPUTED_VALUE"""),"4GB")</f>
        <v>4GB</v>
      </c>
      <c r="J68" s="18">
        <v>1545.28</v>
      </c>
      <c r="K68" s="16">
        <v>2.0</v>
      </c>
      <c r="L68" s="18">
        <v>3090.56</v>
      </c>
      <c r="M68" s="16" t="s">
        <v>2339</v>
      </c>
      <c r="N68" s="16" t="s">
        <v>2340</v>
      </c>
      <c r="O68" s="16" t="s">
        <v>2341</v>
      </c>
    </row>
    <row r="69" ht="15.75" customHeight="1">
      <c r="A69" s="19" t="s">
        <v>2409</v>
      </c>
      <c r="B69" s="16" t="s">
        <v>35</v>
      </c>
      <c r="C69" s="16" t="str">
        <f t="shared" si="1"/>
        <v>Medellín</v>
      </c>
      <c r="D69" s="16" t="str">
        <f t="shared" si="2"/>
        <v>Medellín</v>
      </c>
      <c r="E69" s="16" t="str">
        <f t="shared" si="3"/>
        <v>Medellín</v>
      </c>
      <c r="F69" s="16" t="s">
        <v>23</v>
      </c>
      <c r="G69" s="17" t="str">
        <f>IFERROR(__xludf.DUMMYFUNCTION("SPLIT(F69:F1068,""-"") "),"Tablet")</f>
        <v>Tablet</v>
      </c>
      <c r="H69" s="16" t="str">
        <f>IFERROR(__xludf.DUMMYFUNCTION("""COMPUTED_VALUE"""),"Estándar")</f>
        <v>Estándar</v>
      </c>
      <c r="I69" s="16" t="str">
        <f>IFERROR(__xludf.DUMMYFUNCTION("""COMPUTED_VALUE"""),"16GB")</f>
        <v>16GB</v>
      </c>
      <c r="J69" s="18">
        <v>97.52</v>
      </c>
      <c r="K69" s="16">
        <v>1.0</v>
      </c>
      <c r="L69" s="18">
        <v>97.52</v>
      </c>
      <c r="M69" s="16" t="s">
        <v>2410</v>
      </c>
      <c r="N69" s="16" t="s">
        <v>2411</v>
      </c>
      <c r="O69" s="16" t="s">
        <v>2412</v>
      </c>
    </row>
    <row r="70" ht="15.75" customHeight="1">
      <c r="A70" s="19">
        <v>45637.0</v>
      </c>
      <c r="B70" s="16" t="s">
        <v>14</v>
      </c>
      <c r="C70" s="16" t="str">
        <f t="shared" si="1"/>
        <v>Bogotá</v>
      </c>
      <c r="D70" s="16" t="str">
        <f t="shared" si="2"/>
        <v>Bogotá</v>
      </c>
      <c r="E70" s="16" t="str">
        <f t="shared" si="3"/>
        <v>Bogotá</v>
      </c>
      <c r="F70" s="16" t="s">
        <v>36</v>
      </c>
      <c r="G70" s="17" t="str">
        <f>IFERROR(__xludf.DUMMYFUNCTION("SPLIT(F70:F1069,""-"") "),"Tablet")</f>
        <v>Tablet</v>
      </c>
      <c r="H70" s="16" t="str">
        <f>IFERROR(__xludf.DUMMYFUNCTION("""COMPUTED_VALUE"""),"Pro")</f>
        <v>Pro</v>
      </c>
      <c r="I70" s="16" t="str">
        <f>IFERROR(__xludf.DUMMYFUNCTION("""COMPUTED_VALUE"""),"4GB")</f>
        <v>4GB</v>
      </c>
      <c r="J70" s="18">
        <v>817.03</v>
      </c>
      <c r="K70" s="16">
        <v>2.0</v>
      </c>
      <c r="L70" s="18">
        <v>1634.06</v>
      </c>
      <c r="M70" s="16" t="s">
        <v>1760</v>
      </c>
      <c r="N70" s="16" t="s">
        <v>1761</v>
      </c>
      <c r="O70" s="16" t="s">
        <v>1762</v>
      </c>
    </row>
    <row r="71" ht="15.75" customHeight="1">
      <c r="A71" s="15">
        <v>45583.0</v>
      </c>
      <c r="B71" s="16" t="s">
        <v>9</v>
      </c>
      <c r="C71" s="16" t="str">
        <f t="shared" si="1"/>
        <v>Monterrey</v>
      </c>
      <c r="D71" s="16" t="str">
        <f t="shared" si="2"/>
        <v>Monterrey</v>
      </c>
      <c r="E71" s="16" t="str">
        <f t="shared" si="3"/>
        <v>Monterrey</v>
      </c>
      <c r="F71" s="16" t="s">
        <v>59</v>
      </c>
      <c r="G71" s="17" t="str">
        <f>IFERROR(__xludf.DUMMYFUNCTION("SPLIT(F71:F1070,""-"") "),"Auriculares")</f>
        <v>Auriculares</v>
      </c>
      <c r="H71" s="16" t="str">
        <f>IFERROR(__xludf.DUMMYFUNCTION("""COMPUTED_VALUE"""),"Bluetooth")</f>
        <v>Bluetooth</v>
      </c>
      <c r="I71" s="16" t="str">
        <f>IFERROR(__xludf.DUMMYFUNCTION("""COMPUTED_VALUE"""),"4GB")</f>
        <v>4GB</v>
      </c>
      <c r="J71" s="18">
        <v>721.04</v>
      </c>
      <c r="K71" s="16">
        <v>4.0</v>
      </c>
      <c r="L71" s="18">
        <v>2884.16</v>
      </c>
      <c r="M71" s="16" t="s">
        <v>386</v>
      </c>
      <c r="N71" s="16" t="s">
        <v>387</v>
      </c>
      <c r="O71" s="16" t="s">
        <v>388</v>
      </c>
    </row>
    <row r="72" ht="15.75" customHeight="1">
      <c r="A72" s="19">
        <v>45648.0</v>
      </c>
      <c r="B72" s="16" t="s">
        <v>58</v>
      </c>
      <c r="C72" s="16" t="str">
        <f t="shared" si="1"/>
        <v>Guadalajara</v>
      </c>
      <c r="D72" s="16" t="str">
        <f t="shared" si="2"/>
        <v>Guadalajara</v>
      </c>
      <c r="E72" s="16" t="str">
        <f t="shared" si="3"/>
        <v>Guadalajara</v>
      </c>
      <c r="F72" s="16" t="s">
        <v>94</v>
      </c>
      <c r="G72" s="17" t="str">
        <f>IFERROR(__xludf.DUMMYFUNCTION("SPLIT(F72:F1071,""-"") "),"Tablet")</f>
        <v>Tablet</v>
      </c>
      <c r="H72" s="16" t="str">
        <f>IFERROR(__xludf.DUMMYFUNCTION("""COMPUTED_VALUE"""),"Mini")</f>
        <v>Mini</v>
      </c>
      <c r="I72" s="16" t="str">
        <f>IFERROR(__xludf.DUMMYFUNCTION("""COMPUTED_VALUE"""),"8GB")</f>
        <v>8GB</v>
      </c>
      <c r="J72" s="18">
        <v>1636.65</v>
      </c>
      <c r="K72" s="16">
        <v>2.0</v>
      </c>
      <c r="L72" s="18">
        <v>3273.3</v>
      </c>
      <c r="M72" s="16" t="s">
        <v>2066</v>
      </c>
      <c r="N72" s="16" t="s">
        <v>2067</v>
      </c>
      <c r="O72" s="16" t="s">
        <v>2068</v>
      </c>
    </row>
    <row r="73" ht="15.75" customHeight="1">
      <c r="A73" s="19">
        <v>45600.0</v>
      </c>
      <c r="B73" s="16" t="s">
        <v>35</v>
      </c>
      <c r="C73" s="16" t="str">
        <f t="shared" si="1"/>
        <v>Medellín</v>
      </c>
      <c r="D73" s="16" t="str">
        <f t="shared" si="2"/>
        <v>Medellín</v>
      </c>
      <c r="E73" s="16" t="str">
        <f t="shared" si="3"/>
        <v>Medellín</v>
      </c>
      <c r="F73" s="16" t="s">
        <v>292</v>
      </c>
      <c r="G73" s="17" t="str">
        <f>IFERROR(__xludf.DUMMYFUNCTION("SPLIT(F73:F1072,""-"") "),"Teléfono")</f>
        <v>Teléfono</v>
      </c>
      <c r="H73" s="16" t="str">
        <f>IFERROR(__xludf.DUMMYFUNCTION("""COMPUTED_VALUE"""),"Gama alta")</f>
        <v>Gama alta</v>
      </c>
      <c r="I73" s="16" t="str">
        <f>IFERROR(__xludf.DUMMYFUNCTION("""COMPUTED_VALUE"""),"16GB")</f>
        <v>16GB</v>
      </c>
      <c r="J73" s="18">
        <v>2114.2</v>
      </c>
      <c r="K73" s="16">
        <v>5.0</v>
      </c>
      <c r="L73" s="18">
        <v>10571.0</v>
      </c>
      <c r="M73" s="16" t="s">
        <v>830</v>
      </c>
      <c r="N73" s="16" t="s">
        <v>831</v>
      </c>
      <c r="O73" s="16" t="s">
        <v>832</v>
      </c>
    </row>
    <row r="74" ht="15.75" customHeight="1">
      <c r="A74" s="15">
        <v>45639.0</v>
      </c>
      <c r="B74" s="16" t="s">
        <v>9</v>
      </c>
      <c r="C74" s="16" t="str">
        <f t="shared" si="1"/>
        <v>Monterrey</v>
      </c>
      <c r="D74" s="16" t="str">
        <f t="shared" si="2"/>
        <v>Monterrey</v>
      </c>
      <c r="E74" s="16" t="str">
        <f t="shared" si="3"/>
        <v>Monterrey</v>
      </c>
      <c r="F74" s="16" t="s">
        <v>81</v>
      </c>
      <c r="G74" s="17" t="str">
        <f>IFERROR(__xludf.DUMMYFUNCTION("SPLIT(F74:F1073,""-"") "),"Laptop")</f>
        <v>Laptop</v>
      </c>
      <c r="H74" s="16" t="str">
        <f>IFERROR(__xludf.DUMMYFUNCTION("""COMPUTED_VALUE"""),"Oficina")</f>
        <v>Oficina</v>
      </c>
      <c r="I74" s="16" t="str">
        <f>IFERROR(__xludf.DUMMYFUNCTION("""COMPUTED_VALUE"""),"16GB")</f>
        <v>16GB</v>
      </c>
      <c r="J74" s="18">
        <v>934.1</v>
      </c>
      <c r="K74" s="16">
        <v>2.0</v>
      </c>
      <c r="L74" s="18">
        <v>1868.2</v>
      </c>
      <c r="M74" s="16" t="s">
        <v>1805</v>
      </c>
      <c r="N74" s="16" t="s">
        <v>1806</v>
      </c>
      <c r="O74" s="16" t="s">
        <v>1807</v>
      </c>
    </row>
    <row r="75" ht="15.75" customHeight="1">
      <c r="A75" s="19">
        <v>45590.0</v>
      </c>
      <c r="B75" s="16" t="s">
        <v>2359</v>
      </c>
      <c r="C75" s="16" t="str">
        <f t="shared" si="1"/>
        <v>Ciudad De M√©Xico</v>
      </c>
      <c r="D75" s="16" t="str">
        <f t="shared" si="2"/>
        <v>Ciudad De M√©Xico</v>
      </c>
      <c r="E75" s="16" t="str">
        <f t="shared" si="3"/>
        <v>Ciudad De MéXico</v>
      </c>
      <c r="F75" s="16" t="s">
        <v>125</v>
      </c>
      <c r="G75" s="17" t="str">
        <f>IFERROR(__xludf.DUMMYFUNCTION("SPLIT(F75:F1074,""-"") "),"Tel√©fono")</f>
        <v>Tel√©fono</v>
      </c>
      <c r="H75" s="16" t="str">
        <f>IFERROR(__xludf.DUMMYFUNCTION("""COMPUTED_VALUE"""),"Gama media")</f>
        <v>Gama media</v>
      </c>
      <c r="I75" s="16" t="str">
        <f>IFERROR(__xludf.DUMMYFUNCTION("""COMPUTED_VALUE"""),"8GB")</f>
        <v>8GB</v>
      </c>
      <c r="J75" s="18">
        <v>2095.64</v>
      </c>
      <c r="K75" s="16">
        <v>5.0</v>
      </c>
      <c r="L75" s="18">
        <v>10478.2</v>
      </c>
      <c r="M75" s="16" t="s">
        <v>617</v>
      </c>
      <c r="N75" s="16" t="s">
        <v>618</v>
      </c>
      <c r="O75" s="16" t="s">
        <v>619</v>
      </c>
    </row>
    <row r="76" ht="15.75" customHeight="1">
      <c r="A76" s="15">
        <v>45625.0</v>
      </c>
      <c r="B76" s="16" t="s">
        <v>58</v>
      </c>
      <c r="C76" s="16" t="str">
        <f t="shared" si="1"/>
        <v>Guadalajara</v>
      </c>
      <c r="D76" s="16" t="str">
        <f t="shared" si="2"/>
        <v>Guadalajara</v>
      </c>
      <c r="E76" s="16" t="str">
        <f t="shared" si="3"/>
        <v>Guadalajara</v>
      </c>
      <c r="F76" s="16" t="s">
        <v>67</v>
      </c>
      <c r="G76" s="17" t="str">
        <f>IFERROR(__xludf.DUMMYFUNCTION("SPLIT(F76:F1075,""-"") "),"Tablet")</f>
        <v>Tablet</v>
      </c>
      <c r="H76" s="16" t="str">
        <f>IFERROR(__xludf.DUMMYFUNCTION("""COMPUTED_VALUE"""),"Estándar")</f>
        <v>Estándar</v>
      </c>
      <c r="I76" s="16" t="str">
        <f>IFERROR(__xludf.DUMMYFUNCTION("""COMPUTED_VALUE"""),"4GB")</f>
        <v>4GB</v>
      </c>
      <c r="J76" s="18">
        <v>337.5</v>
      </c>
      <c r="K76" s="16">
        <v>5.0</v>
      </c>
      <c r="L76" s="18">
        <v>1687.5</v>
      </c>
      <c r="M76" s="16" t="s">
        <v>1583</v>
      </c>
      <c r="N76" s="16" t="s">
        <v>1584</v>
      </c>
      <c r="O76" s="16" t="s">
        <v>1585</v>
      </c>
    </row>
    <row r="77" ht="15.75" customHeight="1">
      <c r="A77" s="19">
        <v>45589.0</v>
      </c>
      <c r="B77" s="16" t="s">
        <v>75</v>
      </c>
      <c r="C77" s="16" t="str">
        <f t="shared" si="1"/>
        <v>Cali</v>
      </c>
      <c r="D77" s="16" t="str">
        <f t="shared" si="2"/>
        <v>Cali</v>
      </c>
      <c r="E77" s="16" t="str">
        <f t="shared" si="3"/>
        <v>Cali</v>
      </c>
      <c r="F77" s="16" t="s">
        <v>40</v>
      </c>
      <c r="G77" s="17" t="str">
        <f>IFERROR(__xludf.DUMMYFUNCTION("SPLIT(F77:F1076,""-"") "),"Auriculares")</f>
        <v>Auriculares</v>
      </c>
      <c r="H77" s="16" t="str">
        <f>IFERROR(__xludf.DUMMYFUNCTION("""COMPUTED_VALUE"""),"Con cable")</f>
        <v>Con cable</v>
      </c>
      <c r="I77" s="16" t="str">
        <f>IFERROR(__xludf.DUMMYFUNCTION("""COMPUTED_VALUE"""),"8GB")</f>
        <v>8GB</v>
      </c>
      <c r="J77" s="18">
        <v>1962.79</v>
      </c>
      <c r="K77" s="16">
        <v>3.0</v>
      </c>
      <c r="L77" s="18">
        <v>5888.37</v>
      </c>
      <c r="M77" s="16" t="s">
        <v>578</v>
      </c>
      <c r="N77" s="16" t="s">
        <v>579</v>
      </c>
      <c r="O77" s="16" t="s">
        <v>580</v>
      </c>
    </row>
    <row r="78" ht="15.75" customHeight="1">
      <c r="A78" s="15">
        <v>45627.0</v>
      </c>
      <c r="B78" s="16" t="s">
        <v>2359</v>
      </c>
      <c r="C78" s="16" t="str">
        <f t="shared" si="1"/>
        <v>Ciudad De M√©Xico</v>
      </c>
      <c r="D78" s="16" t="str">
        <f t="shared" si="2"/>
        <v>Ciudad De M√©Xico</v>
      </c>
      <c r="E78" s="16" t="str">
        <f t="shared" si="3"/>
        <v>Ciudad De MéXico</v>
      </c>
      <c r="F78" s="16" t="s">
        <v>10</v>
      </c>
      <c r="G78" s="17" t="str">
        <f>IFERROR(__xludf.DUMMYFUNCTION("SPLIT(F78:F1077,""-"") "),"Tablet")</f>
        <v>Tablet</v>
      </c>
      <c r="H78" s="16" t="str">
        <f>IFERROR(__xludf.DUMMYFUNCTION("""COMPUTED_VALUE"""),"Estándar")</f>
        <v>Estándar</v>
      </c>
      <c r="I78" s="16" t="str">
        <f>IFERROR(__xludf.DUMMYFUNCTION("""COMPUTED_VALUE"""),"8GB")</f>
        <v>8GB</v>
      </c>
      <c r="J78" s="18">
        <v>2261.15</v>
      </c>
      <c r="K78" s="16">
        <v>1.0</v>
      </c>
      <c r="L78" s="18">
        <v>2261.15</v>
      </c>
      <c r="M78" s="16" t="s">
        <v>1637</v>
      </c>
      <c r="N78" s="16" t="s">
        <v>1638</v>
      </c>
      <c r="O78" s="16" t="s">
        <v>1639</v>
      </c>
    </row>
    <row r="79" ht="15.75" customHeight="1">
      <c r="A79" s="19">
        <v>45600.0</v>
      </c>
      <c r="B79" s="16" t="s">
        <v>14</v>
      </c>
      <c r="C79" s="16" t="str">
        <f t="shared" si="1"/>
        <v>Bogotá</v>
      </c>
      <c r="D79" s="16" t="str">
        <f t="shared" si="2"/>
        <v>Bogotá</v>
      </c>
      <c r="E79" s="16" t="str">
        <f t="shared" si="3"/>
        <v>Bogotá</v>
      </c>
      <c r="F79" s="16" t="s">
        <v>90</v>
      </c>
      <c r="G79" s="17" t="str">
        <f>IFERROR(__xludf.DUMMYFUNCTION("SPLIT(F79:F1078,""-"") "),"Laptop")</f>
        <v>Laptop</v>
      </c>
      <c r="H79" s="16" t="str">
        <f>IFERROR(__xludf.DUMMYFUNCTION("""COMPUTED_VALUE"""),"Gaming")</f>
        <v>Gaming</v>
      </c>
      <c r="I79" s="16" t="str">
        <f>IFERROR(__xludf.DUMMYFUNCTION("""COMPUTED_VALUE"""),"32GB")</f>
        <v>32GB</v>
      </c>
      <c r="J79" s="18">
        <v>1491.19</v>
      </c>
      <c r="K79" s="16">
        <v>5.0</v>
      </c>
      <c r="L79" s="18">
        <v>7455.95</v>
      </c>
      <c r="M79" s="16" t="s">
        <v>833</v>
      </c>
      <c r="N79" s="16" t="s">
        <v>834</v>
      </c>
      <c r="O79" s="16" t="s">
        <v>835</v>
      </c>
    </row>
    <row r="80" ht="15.75" customHeight="1">
      <c r="A80" s="19">
        <v>45619.0</v>
      </c>
      <c r="B80" s="16" t="s">
        <v>1407</v>
      </c>
      <c r="C80" s="16" t="str">
        <f t="shared" si="1"/>
        <v>Cali</v>
      </c>
      <c r="D80" s="16" t="str">
        <f t="shared" si="2"/>
        <v>Cali</v>
      </c>
      <c r="E80" s="16" t="str">
        <f t="shared" si="3"/>
        <v>Cali</v>
      </c>
      <c r="F80" s="16" t="s">
        <v>282</v>
      </c>
      <c r="G80" s="17" t="str">
        <f>IFERROR(__xludf.DUMMYFUNCTION("SPLIT(F80:F1079,""-"") "),"Tablet")</f>
        <v>Tablet</v>
      </c>
      <c r="H80" s="16" t="str">
        <f>IFERROR(__xludf.DUMMYFUNCTION("""COMPUTED_VALUE"""),"Pro")</f>
        <v>Pro</v>
      </c>
      <c r="I80" s="16" t="str">
        <f>IFERROR(__xludf.DUMMYFUNCTION("""COMPUTED_VALUE"""),"16GB")</f>
        <v>16GB</v>
      </c>
      <c r="J80" s="18">
        <v>405.62</v>
      </c>
      <c r="K80" s="16">
        <v>4.0</v>
      </c>
      <c r="L80" s="18">
        <v>1622.48</v>
      </c>
      <c r="M80" s="16" t="s">
        <v>1408</v>
      </c>
      <c r="N80" s="16" t="s">
        <v>1409</v>
      </c>
      <c r="O80" s="16" t="s">
        <v>1410</v>
      </c>
    </row>
    <row r="81" ht="15.75" customHeight="1">
      <c r="A81" s="19">
        <v>45599.0</v>
      </c>
      <c r="B81" s="16" t="s">
        <v>9</v>
      </c>
      <c r="C81" s="16" t="str">
        <f t="shared" si="1"/>
        <v>Monterrey</v>
      </c>
      <c r="D81" s="16" t="str">
        <f t="shared" si="2"/>
        <v>Monterrey</v>
      </c>
      <c r="E81" s="16" t="str">
        <f t="shared" si="3"/>
        <v>Monterrey</v>
      </c>
      <c r="F81" s="16" t="s">
        <v>163</v>
      </c>
      <c r="G81" s="17" t="str">
        <f>IFERROR(__xludf.DUMMYFUNCTION("SPLIT(F81:F1080,""-"") "),"Laptop")</f>
        <v>Laptop</v>
      </c>
      <c r="H81" s="16" t="str">
        <f>IFERROR(__xludf.DUMMYFUNCTION("""COMPUTED_VALUE"""),"Oficina")</f>
        <v>Oficina</v>
      </c>
      <c r="I81" s="16" t="str">
        <f>IFERROR(__xludf.DUMMYFUNCTION("""COMPUTED_VALUE"""),"32GB")</f>
        <v>32GB</v>
      </c>
      <c r="J81" s="18">
        <v>2157.37</v>
      </c>
      <c r="K81" s="16">
        <v>5.0</v>
      </c>
      <c r="L81" s="18">
        <v>10786.85</v>
      </c>
      <c r="M81" s="16" t="s">
        <v>824</v>
      </c>
      <c r="N81" s="16" t="s">
        <v>825</v>
      </c>
      <c r="O81" s="16" t="s">
        <v>826</v>
      </c>
    </row>
    <row r="82" ht="15.75" customHeight="1">
      <c r="A82" s="19">
        <v>45609.0</v>
      </c>
      <c r="B82" s="16" t="s">
        <v>9</v>
      </c>
      <c r="C82" s="16" t="str">
        <f t="shared" si="1"/>
        <v>Monterrey</v>
      </c>
      <c r="D82" s="16" t="str">
        <f t="shared" si="2"/>
        <v>Monterrey</v>
      </c>
      <c r="E82" s="16" t="str">
        <f t="shared" si="3"/>
        <v>Monterrey</v>
      </c>
      <c r="F82" s="16" t="s">
        <v>94</v>
      </c>
      <c r="G82" s="17" t="str">
        <f>IFERROR(__xludf.DUMMYFUNCTION("SPLIT(F82:F1081,""-"") "),"Tablet")</f>
        <v>Tablet</v>
      </c>
      <c r="H82" s="16" t="str">
        <f>IFERROR(__xludf.DUMMYFUNCTION("""COMPUTED_VALUE"""),"Mini")</f>
        <v>Mini</v>
      </c>
      <c r="I82" s="16" t="str">
        <f>IFERROR(__xludf.DUMMYFUNCTION("""COMPUTED_VALUE"""),"8GB")</f>
        <v>8GB</v>
      </c>
      <c r="J82" s="18">
        <v>625.41</v>
      </c>
      <c r="K82" s="16">
        <v>2.0</v>
      </c>
      <c r="L82" s="18">
        <v>1250.82</v>
      </c>
      <c r="M82" s="16" t="s">
        <v>1039</v>
      </c>
      <c r="N82" s="16" t="s">
        <v>1040</v>
      </c>
      <c r="O82" s="16" t="s">
        <v>1041</v>
      </c>
    </row>
    <row r="83" ht="15.75" customHeight="1">
      <c r="A83" s="19">
        <v>45578.0</v>
      </c>
      <c r="B83" s="16" t="s">
        <v>9</v>
      </c>
      <c r="C83" s="16" t="str">
        <f t="shared" si="1"/>
        <v>Monterrey</v>
      </c>
      <c r="D83" s="16" t="str">
        <f t="shared" si="2"/>
        <v>Monterrey</v>
      </c>
      <c r="E83" s="16" t="str">
        <f t="shared" si="3"/>
        <v>Monterrey</v>
      </c>
      <c r="F83" s="16" t="s">
        <v>94</v>
      </c>
      <c r="G83" s="17" t="str">
        <f>IFERROR(__xludf.DUMMYFUNCTION("SPLIT(F83:F1082,""-"") "),"Tablet")</f>
        <v>Tablet</v>
      </c>
      <c r="H83" s="16" t="str">
        <f>IFERROR(__xludf.DUMMYFUNCTION("""COMPUTED_VALUE"""),"Mini")</f>
        <v>Mini</v>
      </c>
      <c r="I83" s="16" t="str">
        <f>IFERROR(__xludf.DUMMYFUNCTION("""COMPUTED_VALUE"""),"8GB")</f>
        <v>8GB</v>
      </c>
      <c r="J83" s="18">
        <v>1664.18</v>
      </c>
      <c r="K83" s="16">
        <v>3.0</v>
      </c>
      <c r="L83" s="18">
        <v>4992.54</v>
      </c>
      <c r="M83" s="16" t="s">
        <v>178</v>
      </c>
      <c r="N83" s="16" t="s">
        <v>179</v>
      </c>
      <c r="O83" s="16" t="s">
        <v>180</v>
      </c>
    </row>
    <row r="84" ht="15.75" customHeight="1">
      <c r="A84" s="15">
        <v>45622.0</v>
      </c>
      <c r="B84" s="16" t="s">
        <v>9</v>
      </c>
      <c r="C84" s="16" t="str">
        <f t="shared" si="1"/>
        <v>Monterrey</v>
      </c>
      <c r="D84" s="16" t="str">
        <f t="shared" si="2"/>
        <v>Monterrey</v>
      </c>
      <c r="E84" s="16" t="str">
        <f t="shared" si="3"/>
        <v>Monterrey</v>
      </c>
      <c r="F84" s="16" t="s">
        <v>50</v>
      </c>
      <c r="G84" s="17" t="str">
        <f>IFERROR(__xludf.DUMMYFUNCTION("SPLIT(F84:F1083,""-"") "),"Tablet")</f>
        <v>Tablet</v>
      </c>
      <c r="H84" s="16" t="str">
        <f>IFERROR(__xludf.DUMMYFUNCTION("""COMPUTED_VALUE"""),"Estándar")</f>
        <v>Estándar</v>
      </c>
      <c r="I84" s="16" t="str">
        <f>IFERROR(__xludf.DUMMYFUNCTION("""COMPUTED_VALUE"""),"32GB")</f>
        <v>32GB</v>
      </c>
      <c r="J84" s="18">
        <v>2229.46</v>
      </c>
      <c r="K84" s="16">
        <v>3.0</v>
      </c>
      <c r="L84" s="18">
        <v>6688.38</v>
      </c>
      <c r="M84" s="16" t="s">
        <v>1505</v>
      </c>
      <c r="N84" s="16" t="s">
        <v>1506</v>
      </c>
      <c r="O84" s="16" t="s">
        <v>1507</v>
      </c>
    </row>
    <row r="85" ht="15.75" customHeight="1">
      <c r="A85" s="19">
        <v>45603.0</v>
      </c>
      <c r="B85" s="16" t="s">
        <v>75</v>
      </c>
      <c r="C85" s="16" t="str">
        <f t="shared" si="1"/>
        <v>Cali</v>
      </c>
      <c r="D85" s="16" t="str">
        <f t="shared" si="2"/>
        <v>Cali</v>
      </c>
      <c r="E85" s="16" t="str">
        <f t="shared" si="3"/>
        <v>Cali</v>
      </c>
      <c r="F85" s="16" t="s">
        <v>666</v>
      </c>
      <c r="G85" s="17" t="str">
        <f>IFERROR(__xludf.DUMMYFUNCTION("SPLIT(F85:F1084,""-"") "),"Auriculares")</f>
        <v>Auriculares</v>
      </c>
      <c r="H85" s="16" t="str">
        <f>IFERROR(__xludf.DUMMYFUNCTION("""COMPUTED_VALUE"""),"Cancelación de ruido")</f>
        <v>Cancelación de ruido</v>
      </c>
      <c r="I85" s="16" t="str">
        <f>IFERROR(__xludf.DUMMYFUNCTION("""COMPUTED_VALUE"""),"32GB")</f>
        <v>32GB</v>
      </c>
      <c r="J85" s="18">
        <v>371.34</v>
      </c>
      <c r="K85" s="16">
        <v>3.0</v>
      </c>
      <c r="L85" s="18">
        <v>1114.02</v>
      </c>
      <c r="M85" s="16" t="s">
        <v>870</v>
      </c>
      <c r="N85" s="16" t="s">
        <v>871</v>
      </c>
      <c r="O85" s="16" t="s">
        <v>872</v>
      </c>
    </row>
    <row r="86" ht="15.75" customHeight="1">
      <c r="A86" s="19" t="s">
        <v>2413</v>
      </c>
      <c r="B86" s="16" t="s">
        <v>75</v>
      </c>
      <c r="C86" s="16" t="str">
        <f t="shared" si="1"/>
        <v>Cali</v>
      </c>
      <c r="D86" s="16" t="str">
        <f t="shared" si="2"/>
        <v>Cali</v>
      </c>
      <c r="E86" s="16" t="str">
        <f t="shared" si="3"/>
        <v>Cali</v>
      </c>
      <c r="F86" s="16" t="s">
        <v>81</v>
      </c>
      <c r="G86" s="17" t="str">
        <f>IFERROR(__xludf.DUMMYFUNCTION("SPLIT(F86:F1085,""-"") "),"Laptop")</f>
        <v>Laptop</v>
      </c>
      <c r="H86" s="16" t="str">
        <f>IFERROR(__xludf.DUMMYFUNCTION("""COMPUTED_VALUE"""),"Oficina")</f>
        <v>Oficina</v>
      </c>
      <c r="I86" s="16" t="str">
        <f>IFERROR(__xludf.DUMMYFUNCTION("""COMPUTED_VALUE"""),"16GB")</f>
        <v>16GB</v>
      </c>
      <c r="J86" s="22">
        <f>(L86/K86) </f>
        <v>2484.66</v>
      </c>
      <c r="K86" s="16">
        <v>4.0</v>
      </c>
      <c r="L86" s="18">
        <v>9938.64</v>
      </c>
      <c r="M86" s="16" t="s">
        <v>2414</v>
      </c>
      <c r="N86" s="16" t="s">
        <v>2415</v>
      </c>
      <c r="O86" s="16" t="s">
        <v>2416</v>
      </c>
    </row>
    <row r="87" ht="15.75" customHeight="1">
      <c r="A87" s="19" t="s">
        <v>2417</v>
      </c>
      <c r="B87" s="16" t="s">
        <v>75</v>
      </c>
      <c r="C87" s="16" t="str">
        <f t="shared" si="1"/>
        <v>Cali</v>
      </c>
      <c r="D87" s="16" t="str">
        <f t="shared" si="2"/>
        <v>Cali</v>
      </c>
      <c r="E87" s="16" t="str">
        <f t="shared" si="3"/>
        <v>Cali</v>
      </c>
      <c r="F87" s="16" t="s">
        <v>85</v>
      </c>
      <c r="G87" s="17" t="str">
        <f>IFERROR(__xludf.DUMMYFUNCTION("SPLIT(F87:F1086,""-"") "),"Teléfono")</f>
        <v>Teléfono</v>
      </c>
      <c r="H87" s="16" t="str">
        <f>IFERROR(__xludf.DUMMYFUNCTION("""COMPUTED_VALUE"""),"Gama media")</f>
        <v>Gama media</v>
      </c>
      <c r="I87" s="16" t="str">
        <f>IFERROR(__xludf.DUMMYFUNCTION("""COMPUTED_VALUE"""),"32GB")</f>
        <v>32GB</v>
      </c>
      <c r="J87" s="18">
        <v>271.58</v>
      </c>
      <c r="K87" s="16">
        <v>5.0</v>
      </c>
      <c r="L87" s="18">
        <v>1357.9</v>
      </c>
      <c r="M87" s="16" t="s">
        <v>2418</v>
      </c>
      <c r="N87" s="16" t="s">
        <v>2419</v>
      </c>
      <c r="O87" s="16" t="s">
        <v>2420</v>
      </c>
    </row>
    <row r="88" ht="15.75" customHeight="1">
      <c r="A88" s="15">
        <v>45616.0</v>
      </c>
      <c r="B88" s="16" t="s">
        <v>35</v>
      </c>
      <c r="C88" s="16" t="str">
        <f t="shared" si="1"/>
        <v>Medellín</v>
      </c>
      <c r="D88" s="16" t="str">
        <f t="shared" si="2"/>
        <v>Medellín</v>
      </c>
      <c r="E88" s="16" t="str">
        <f t="shared" si="3"/>
        <v>Medellín</v>
      </c>
      <c r="F88" s="16" t="s">
        <v>63</v>
      </c>
      <c r="G88" s="17" t="str">
        <f>IFERROR(__xludf.DUMMYFUNCTION("SPLIT(F88:F1087,""-"") "),"Laptop")</f>
        <v>Laptop</v>
      </c>
      <c r="H88" s="16" t="str">
        <f>IFERROR(__xludf.DUMMYFUNCTION("""COMPUTED_VALUE"""),"Ultraliviana")</f>
        <v>Ultraliviana</v>
      </c>
      <c r="I88" s="16" t="str">
        <f>IFERROR(__xludf.DUMMYFUNCTION("""COMPUTED_VALUE"""),"4GB")</f>
        <v>4GB</v>
      </c>
      <c r="J88" s="18">
        <v>2371.6</v>
      </c>
      <c r="K88" s="16">
        <v>2.0</v>
      </c>
      <c r="L88" s="18">
        <v>4743.2</v>
      </c>
      <c r="M88" s="16" t="s">
        <v>1299</v>
      </c>
      <c r="N88" s="16" t="s">
        <v>1300</v>
      </c>
      <c r="O88" s="16" t="s">
        <v>1301</v>
      </c>
    </row>
    <row r="89" ht="15.75" customHeight="1">
      <c r="A89" s="15">
        <v>45587.0</v>
      </c>
      <c r="B89" s="16" t="s">
        <v>75</v>
      </c>
      <c r="C89" s="16" t="str">
        <f t="shared" si="1"/>
        <v>Cali</v>
      </c>
      <c r="D89" s="16" t="str">
        <f t="shared" si="2"/>
        <v>Cali</v>
      </c>
      <c r="E89" s="16" t="str">
        <f t="shared" si="3"/>
        <v>Cali</v>
      </c>
      <c r="F89" s="16" t="s">
        <v>81</v>
      </c>
      <c r="G89" s="17" t="str">
        <f>IFERROR(__xludf.DUMMYFUNCTION("SPLIT(F89:F1088,""-"") "),"Laptop")</f>
        <v>Laptop</v>
      </c>
      <c r="H89" s="16" t="str">
        <f>IFERROR(__xludf.DUMMYFUNCTION("""COMPUTED_VALUE"""),"Oficina")</f>
        <v>Oficina</v>
      </c>
      <c r="I89" s="16" t="str">
        <f>IFERROR(__xludf.DUMMYFUNCTION("""COMPUTED_VALUE"""),"16GB")</f>
        <v>16GB</v>
      </c>
      <c r="J89" s="18">
        <v>2392.65</v>
      </c>
      <c r="K89" s="16">
        <v>4.0</v>
      </c>
      <c r="L89" s="18">
        <v>9570.6</v>
      </c>
      <c r="M89" s="16" t="s">
        <v>511</v>
      </c>
      <c r="N89" s="16" t="s">
        <v>512</v>
      </c>
      <c r="O89" s="16" t="s">
        <v>513</v>
      </c>
    </row>
    <row r="90" ht="15.75" customHeight="1">
      <c r="A90" s="19">
        <v>45617.0</v>
      </c>
      <c r="B90" s="16" t="s">
        <v>9</v>
      </c>
      <c r="C90" s="16" t="str">
        <f t="shared" si="1"/>
        <v>Monterrey</v>
      </c>
      <c r="D90" s="16" t="str">
        <f t="shared" si="2"/>
        <v>Monterrey</v>
      </c>
      <c r="E90" s="16" t="str">
        <f t="shared" si="3"/>
        <v>Monterrey</v>
      </c>
      <c r="F90" s="16" t="s">
        <v>90</v>
      </c>
      <c r="G90" s="17" t="str">
        <f>IFERROR(__xludf.DUMMYFUNCTION("SPLIT(F90:F1089,""-"") "),"Laptop")</f>
        <v>Laptop</v>
      </c>
      <c r="H90" s="16" t="str">
        <f>IFERROR(__xludf.DUMMYFUNCTION("""COMPUTED_VALUE"""),"Gaming")</f>
        <v>Gaming</v>
      </c>
      <c r="I90" s="16" t="str">
        <f>IFERROR(__xludf.DUMMYFUNCTION("""COMPUTED_VALUE"""),"32GB")</f>
        <v>32GB</v>
      </c>
      <c r="J90" s="18">
        <v>1738.96</v>
      </c>
      <c r="K90" s="16">
        <v>4.0</v>
      </c>
      <c r="L90" s="18">
        <v>6955.84</v>
      </c>
      <c r="M90" s="16" t="s">
        <v>1335</v>
      </c>
      <c r="N90" s="16" t="s">
        <v>1336</v>
      </c>
      <c r="O90" s="16" t="s">
        <v>1337</v>
      </c>
    </row>
    <row r="91" ht="15.75" customHeight="1">
      <c r="A91" s="19" t="s">
        <v>2421</v>
      </c>
      <c r="B91" s="16" t="s">
        <v>75</v>
      </c>
      <c r="C91" s="16" t="str">
        <f t="shared" si="1"/>
        <v>Cali</v>
      </c>
      <c r="D91" s="16" t="str">
        <f t="shared" si="2"/>
        <v>Cali</v>
      </c>
      <c r="E91" s="16" t="str">
        <f t="shared" si="3"/>
        <v>Cali</v>
      </c>
      <c r="F91" s="16" t="s">
        <v>121</v>
      </c>
      <c r="G91" s="17" t="str">
        <f>IFERROR(__xludf.DUMMYFUNCTION("SPLIT(F91:F1090,""-"") "),"Teléfono")</f>
        <v>Teléfono</v>
      </c>
      <c r="H91" s="16" t="str">
        <f>IFERROR(__xludf.DUMMYFUNCTION("""COMPUTED_VALUE"""),"Gama alta")</f>
        <v>Gama alta</v>
      </c>
      <c r="I91" s="16" t="str">
        <f>IFERROR(__xludf.DUMMYFUNCTION("""COMPUTED_VALUE"""),"8GB")</f>
        <v>8GB</v>
      </c>
      <c r="J91" s="18">
        <v>1877.63</v>
      </c>
      <c r="K91" s="16">
        <v>2.0</v>
      </c>
      <c r="L91" s="18">
        <v>3755.26</v>
      </c>
      <c r="M91" s="16" t="s">
        <v>2422</v>
      </c>
      <c r="N91" s="16" t="s">
        <v>2423</v>
      </c>
      <c r="O91" s="16" t="s">
        <v>2424</v>
      </c>
    </row>
    <row r="92" ht="15.75" customHeight="1">
      <c r="A92" s="19">
        <v>45647.0</v>
      </c>
      <c r="B92" s="16" t="s">
        <v>35</v>
      </c>
      <c r="C92" s="16" t="str">
        <f t="shared" si="1"/>
        <v>Medellín</v>
      </c>
      <c r="D92" s="16" t="str">
        <f t="shared" si="2"/>
        <v>Medellín</v>
      </c>
      <c r="E92" s="16" t="str">
        <f t="shared" si="3"/>
        <v>Medellín</v>
      </c>
      <c r="F92" s="16" t="s">
        <v>666</v>
      </c>
      <c r="G92" s="17" t="str">
        <f>IFERROR(__xludf.DUMMYFUNCTION("SPLIT(F92:F1091,""-"") "),"Auriculares")</f>
        <v>Auriculares</v>
      </c>
      <c r="H92" s="16" t="str">
        <f>IFERROR(__xludf.DUMMYFUNCTION("""COMPUTED_VALUE"""),"Cancelación de ruido")</f>
        <v>Cancelación de ruido</v>
      </c>
      <c r="I92" s="16" t="str">
        <f>IFERROR(__xludf.DUMMYFUNCTION("""COMPUTED_VALUE"""),"32GB")</f>
        <v>32GB</v>
      </c>
      <c r="J92" s="18">
        <v>1547.71</v>
      </c>
      <c r="K92" s="16">
        <v>5.0</v>
      </c>
      <c r="L92" s="18">
        <v>7738.55</v>
      </c>
      <c r="M92" s="16" t="s">
        <v>2035</v>
      </c>
      <c r="N92" s="16" t="s">
        <v>2036</v>
      </c>
      <c r="O92" s="16" t="s">
        <v>2037</v>
      </c>
    </row>
    <row r="93" ht="15.75" customHeight="1">
      <c r="A93" s="19" t="s">
        <v>2425</v>
      </c>
      <c r="B93" s="16" t="s">
        <v>58</v>
      </c>
      <c r="C93" s="16" t="str">
        <f t="shared" si="1"/>
        <v>Guadalajara</v>
      </c>
      <c r="D93" s="16" t="str">
        <f t="shared" si="2"/>
        <v>Guadalajara</v>
      </c>
      <c r="E93" s="16" t="str">
        <f t="shared" si="3"/>
        <v>Guadalajara</v>
      </c>
      <c r="F93" s="16" t="s">
        <v>218</v>
      </c>
      <c r="G93" s="17" t="str">
        <f>IFERROR(__xludf.DUMMYFUNCTION("SPLIT(F93:F1092,""-"") "),"Teléfono")</f>
        <v>Teléfono</v>
      </c>
      <c r="H93" s="16" t="str">
        <f>IFERROR(__xludf.DUMMYFUNCTION("""COMPUTED_VALUE"""),"Gama media")</f>
        <v>Gama media</v>
      </c>
      <c r="I93" s="16" t="str">
        <f>IFERROR(__xludf.DUMMYFUNCTION("""COMPUTED_VALUE"""),"4GB")</f>
        <v>4GB</v>
      </c>
      <c r="J93" s="18">
        <v>1254.72</v>
      </c>
      <c r="K93" s="16">
        <v>2.0</v>
      </c>
      <c r="L93" s="18">
        <v>2509.44</v>
      </c>
      <c r="M93" s="16" t="s">
        <v>2426</v>
      </c>
      <c r="N93" s="16" t="s">
        <v>2427</v>
      </c>
      <c r="O93" s="16" t="s">
        <v>2428</v>
      </c>
    </row>
    <row r="94" ht="15.75" customHeight="1">
      <c r="A94" s="19" t="s">
        <v>2429</v>
      </c>
      <c r="B94" s="16" t="s">
        <v>9</v>
      </c>
      <c r="C94" s="16" t="str">
        <f t="shared" si="1"/>
        <v>Monterrey</v>
      </c>
      <c r="D94" s="16" t="str">
        <f t="shared" si="2"/>
        <v>Monterrey</v>
      </c>
      <c r="E94" s="16" t="str">
        <f t="shared" si="3"/>
        <v>Monterrey</v>
      </c>
      <c r="F94" s="16" t="s">
        <v>67</v>
      </c>
      <c r="G94" s="17" t="str">
        <f>IFERROR(__xludf.DUMMYFUNCTION("SPLIT(F94:F1093,""-"") "),"Tablet")</f>
        <v>Tablet</v>
      </c>
      <c r="H94" s="16" t="str">
        <f>IFERROR(__xludf.DUMMYFUNCTION("""COMPUTED_VALUE"""),"Estándar")</f>
        <v>Estándar</v>
      </c>
      <c r="I94" s="16" t="str">
        <f>IFERROR(__xludf.DUMMYFUNCTION("""COMPUTED_VALUE"""),"4GB")</f>
        <v>4GB</v>
      </c>
      <c r="J94" s="18">
        <v>2087.84</v>
      </c>
      <c r="K94" s="16">
        <v>1.0</v>
      </c>
      <c r="L94" s="18">
        <v>2087.84</v>
      </c>
      <c r="M94" s="16" t="s">
        <v>2430</v>
      </c>
      <c r="N94" s="16" t="s">
        <v>2431</v>
      </c>
      <c r="O94" s="16" t="s">
        <v>2432</v>
      </c>
    </row>
    <row r="95" ht="15.75" customHeight="1">
      <c r="A95" s="15">
        <v>45619.0</v>
      </c>
      <c r="B95" s="16" t="s">
        <v>58</v>
      </c>
      <c r="C95" s="16" t="str">
        <f t="shared" si="1"/>
        <v>Guadalajara</v>
      </c>
      <c r="D95" s="16" t="str">
        <f t="shared" si="2"/>
        <v>Guadalajara</v>
      </c>
      <c r="E95" s="16" t="str">
        <f t="shared" si="3"/>
        <v>Guadalajara</v>
      </c>
      <c r="F95" s="16" t="s">
        <v>121</v>
      </c>
      <c r="G95" s="17" t="str">
        <f>IFERROR(__xludf.DUMMYFUNCTION("SPLIT(F95:F1094,""-"") "),"Teléfono")</f>
        <v>Teléfono</v>
      </c>
      <c r="H95" s="16" t="str">
        <f>IFERROR(__xludf.DUMMYFUNCTION("""COMPUTED_VALUE"""),"Gama alta")</f>
        <v>Gama alta</v>
      </c>
      <c r="I95" s="16" t="str">
        <f>IFERROR(__xludf.DUMMYFUNCTION("""COMPUTED_VALUE"""),"8GB")</f>
        <v>8GB</v>
      </c>
      <c r="J95" s="22">
        <f>(L95/K95) </f>
        <v>1659.54</v>
      </c>
      <c r="K95" s="16">
        <v>3.0</v>
      </c>
      <c r="L95" s="18">
        <v>4978.62</v>
      </c>
      <c r="M95" s="16" t="s">
        <v>1411</v>
      </c>
      <c r="N95" s="16" t="s">
        <v>1412</v>
      </c>
      <c r="O95" s="16" t="s">
        <v>1413</v>
      </c>
    </row>
    <row r="96" ht="15.75" customHeight="1">
      <c r="A96" s="15">
        <v>45600.0</v>
      </c>
      <c r="B96" s="16" t="s">
        <v>58</v>
      </c>
      <c r="C96" s="16" t="str">
        <f t="shared" si="1"/>
        <v>Guadalajara</v>
      </c>
      <c r="D96" s="16" t="str">
        <f t="shared" si="2"/>
        <v>Guadalajara</v>
      </c>
      <c r="E96" s="16" t="str">
        <f t="shared" si="3"/>
        <v>Guadalajara</v>
      </c>
      <c r="F96" s="16" t="s">
        <v>132</v>
      </c>
      <c r="G96" s="17" t="str">
        <f>IFERROR(__xludf.DUMMYFUNCTION("SPLIT(F96:F1095,""-"") "),"Tablet")</f>
        <v>Tablet</v>
      </c>
      <c r="H96" s="16" t="str">
        <f>IFERROR(__xludf.DUMMYFUNCTION("""COMPUTED_VALUE"""),"Pro")</f>
        <v>Pro</v>
      </c>
      <c r="I96" s="16" t="str">
        <f>IFERROR(__xludf.DUMMYFUNCTION("""COMPUTED_VALUE"""),"8GB")</f>
        <v>8GB</v>
      </c>
      <c r="J96" s="18">
        <v>1849.07</v>
      </c>
      <c r="K96" s="16">
        <v>5.0</v>
      </c>
      <c r="L96" s="18">
        <v>9245.35</v>
      </c>
      <c r="M96" s="16" t="s">
        <v>836</v>
      </c>
      <c r="N96" s="16" t="s">
        <v>837</v>
      </c>
      <c r="O96" s="16" t="s">
        <v>838</v>
      </c>
    </row>
    <row r="97" ht="15.75" customHeight="1">
      <c r="A97" s="15">
        <v>45594.0</v>
      </c>
      <c r="B97" s="16" t="s">
        <v>2359</v>
      </c>
      <c r="C97" s="16" t="str">
        <f t="shared" si="1"/>
        <v>Ciudad De M√©Xico</v>
      </c>
      <c r="D97" s="16" t="str">
        <f t="shared" si="2"/>
        <v>Ciudad De M√©Xico</v>
      </c>
      <c r="E97" s="16" t="str">
        <f t="shared" si="3"/>
        <v>Ciudad De MéXico</v>
      </c>
      <c r="F97" s="16" t="s">
        <v>117</v>
      </c>
      <c r="G97" s="17" t="str">
        <f>IFERROR(__xludf.DUMMYFUNCTION("SPLIT(F97:F1096,""-"") "),"Teléfono")</f>
        <v>Teléfono</v>
      </c>
      <c r="H97" s="16" t="str">
        <f>IFERROR(__xludf.DUMMYFUNCTION("""COMPUTED_VALUE"""),"Gama baja")</f>
        <v>Gama baja</v>
      </c>
      <c r="I97" s="16" t="str">
        <f>IFERROR(__xludf.DUMMYFUNCTION("""COMPUTED_VALUE"""),"16GB")</f>
        <v>16GB</v>
      </c>
      <c r="J97" s="18">
        <v>1290.52</v>
      </c>
      <c r="K97" s="16">
        <v>3.0</v>
      </c>
      <c r="L97" s="18">
        <v>3871.56</v>
      </c>
      <c r="M97" s="16" t="s">
        <v>727</v>
      </c>
      <c r="N97" s="16" t="s">
        <v>728</v>
      </c>
      <c r="O97" s="16" t="s">
        <v>729</v>
      </c>
    </row>
    <row r="98" ht="15.75" customHeight="1">
      <c r="A98" s="19">
        <v>45586.0</v>
      </c>
      <c r="B98" s="16" t="s">
        <v>75</v>
      </c>
      <c r="C98" s="16" t="str">
        <f t="shared" si="1"/>
        <v>Cali</v>
      </c>
      <c r="D98" s="16" t="str">
        <f t="shared" si="2"/>
        <v>Cali</v>
      </c>
      <c r="E98" s="16" t="str">
        <f t="shared" si="3"/>
        <v>Cali</v>
      </c>
      <c r="F98" s="16" t="s">
        <v>94</v>
      </c>
      <c r="G98" s="17" t="str">
        <f>IFERROR(__xludf.DUMMYFUNCTION("SPLIT(F98:F1097,""-"") "),"Tablet")</f>
        <v>Tablet</v>
      </c>
      <c r="H98" s="16" t="str">
        <f>IFERROR(__xludf.DUMMYFUNCTION("""COMPUTED_VALUE"""),"Mini")</f>
        <v>Mini</v>
      </c>
      <c r="I98" s="16" t="str">
        <f>IFERROR(__xludf.DUMMYFUNCTION("""COMPUTED_VALUE"""),"8GB")</f>
        <v>8GB</v>
      </c>
      <c r="J98" s="18">
        <v>392.86</v>
      </c>
      <c r="K98" s="16">
        <v>2.0</v>
      </c>
      <c r="L98" s="18">
        <v>785.72</v>
      </c>
      <c r="M98" s="16" t="s">
        <v>495</v>
      </c>
      <c r="N98" s="16" t="s">
        <v>496</v>
      </c>
      <c r="O98" s="16" t="s">
        <v>497</v>
      </c>
    </row>
    <row r="99" ht="15.75" customHeight="1">
      <c r="A99" s="19">
        <v>45332.0</v>
      </c>
      <c r="B99" s="16" t="s">
        <v>58</v>
      </c>
      <c r="C99" s="16" t="str">
        <f t="shared" si="1"/>
        <v>Guadalajara</v>
      </c>
      <c r="D99" s="16" t="str">
        <f t="shared" si="2"/>
        <v>Guadalajara</v>
      </c>
      <c r="E99" s="16" t="str">
        <f t="shared" si="3"/>
        <v>Guadalajara</v>
      </c>
      <c r="F99" s="16" t="s">
        <v>67</v>
      </c>
      <c r="G99" s="17" t="str">
        <f>IFERROR(__xludf.DUMMYFUNCTION("SPLIT(F99:F1098,""-"") "),"Tablet")</f>
        <v>Tablet</v>
      </c>
      <c r="H99" s="16" t="str">
        <f>IFERROR(__xludf.DUMMYFUNCTION("""COMPUTED_VALUE"""),"Estándar")</f>
        <v>Estándar</v>
      </c>
      <c r="I99" s="16" t="str">
        <f>IFERROR(__xludf.DUMMYFUNCTION("""COMPUTED_VALUE"""),"4GB")</f>
        <v>4GB</v>
      </c>
      <c r="J99" s="18">
        <v>1864.02</v>
      </c>
      <c r="K99" s="16">
        <v>5.0</v>
      </c>
      <c r="L99" s="18">
        <v>9320.1</v>
      </c>
      <c r="M99" s="16" t="s">
        <v>2433</v>
      </c>
      <c r="N99" s="16" t="s">
        <v>2434</v>
      </c>
      <c r="O99" s="16" t="s">
        <v>2435</v>
      </c>
    </row>
    <row r="100" ht="15.75" customHeight="1">
      <c r="A100" s="15">
        <v>45654.0</v>
      </c>
      <c r="B100" s="16" t="s">
        <v>9</v>
      </c>
      <c r="C100" s="16" t="str">
        <f t="shared" si="1"/>
        <v>Monterrey</v>
      </c>
      <c r="D100" s="16" t="str">
        <f t="shared" si="2"/>
        <v>Monterrey</v>
      </c>
      <c r="E100" s="16" t="str">
        <f t="shared" si="3"/>
        <v>Monterrey</v>
      </c>
      <c r="F100" s="16" t="s">
        <v>139</v>
      </c>
      <c r="G100" s="17" t="str">
        <f>IFERROR(__xludf.DUMMYFUNCTION("SPLIT(F100:F1099,""-"") "),"Auriculares")</f>
        <v>Auriculares</v>
      </c>
      <c r="H100" s="16" t="str">
        <f>IFERROR(__xludf.DUMMYFUNCTION("""COMPUTED_VALUE"""),"Con cable")</f>
        <v>Con cable</v>
      </c>
      <c r="I100" s="16" t="str">
        <f>IFERROR(__xludf.DUMMYFUNCTION("""COMPUTED_VALUE"""),"16GB")</f>
        <v>16GB</v>
      </c>
      <c r="J100" s="18">
        <v>589.92</v>
      </c>
      <c r="K100" s="16">
        <v>3.0</v>
      </c>
      <c r="L100" s="18">
        <v>1769.76</v>
      </c>
      <c r="M100" s="16" t="s">
        <v>2237</v>
      </c>
      <c r="N100" s="16" t="s">
        <v>2238</v>
      </c>
      <c r="O100" s="16" t="s">
        <v>2239</v>
      </c>
    </row>
    <row r="101" ht="15.75" customHeight="1">
      <c r="A101" s="15">
        <v>45650.0</v>
      </c>
      <c r="B101" s="16" t="s">
        <v>35</v>
      </c>
      <c r="C101" s="16" t="str">
        <f t="shared" si="1"/>
        <v>Medellín</v>
      </c>
      <c r="D101" s="16" t="str">
        <f t="shared" si="2"/>
        <v>Medellín</v>
      </c>
      <c r="E101" s="16" t="str">
        <f t="shared" si="3"/>
        <v>Medellín</v>
      </c>
      <c r="F101" s="16" t="s">
        <v>373</v>
      </c>
      <c r="G101" s="17" t="str">
        <f>IFERROR(__xludf.DUMMYFUNCTION("SPLIT(F101:F1100,""-"") "),"Teléfono")</f>
        <v>Teléfono</v>
      </c>
      <c r="H101" s="16" t="str">
        <f>IFERROR(__xludf.DUMMYFUNCTION("""COMPUTED_VALUE"""),"Gama media")</f>
        <v>Gama media</v>
      </c>
      <c r="I101" s="16" t="str">
        <f>IFERROR(__xludf.DUMMYFUNCTION("""COMPUTED_VALUE"""),"16GB")</f>
        <v>16GB</v>
      </c>
      <c r="J101" s="18">
        <v>758.87</v>
      </c>
      <c r="K101" s="16">
        <v>3.0</v>
      </c>
      <c r="L101" s="18">
        <v>2276.61</v>
      </c>
      <c r="M101" s="16" t="s">
        <v>2132</v>
      </c>
      <c r="N101" s="16" t="s">
        <v>2133</v>
      </c>
      <c r="O101" s="21" t="s">
        <v>2134</v>
      </c>
    </row>
    <row r="102" ht="15.75" customHeight="1">
      <c r="A102" s="19" t="s">
        <v>2417</v>
      </c>
      <c r="B102" s="16" t="s">
        <v>35</v>
      </c>
      <c r="C102" s="16" t="str">
        <f t="shared" si="1"/>
        <v>Medellín</v>
      </c>
      <c r="D102" s="16" t="str">
        <f t="shared" si="2"/>
        <v>Medellín</v>
      </c>
      <c r="E102" s="16" t="str">
        <f t="shared" si="3"/>
        <v>Medellín</v>
      </c>
      <c r="F102" s="16" t="s">
        <v>163</v>
      </c>
      <c r="G102" s="17" t="str">
        <f>IFERROR(__xludf.DUMMYFUNCTION("SPLIT(F102:F1101,""-"") "),"Laptop")</f>
        <v>Laptop</v>
      </c>
      <c r="H102" s="16" t="str">
        <f>IFERROR(__xludf.DUMMYFUNCTION("""COMPUTED_VALUE"""),"Oficina")</f>
        <v>Oficina</v>
      </c>
      <c r="I102" s="16" t="str">
        <f>IFERROR(__xludf.DUMMYFUNCTION("""COMPUTED_VALUE"""),"32GB")</f>
        <v>32GB</v>
      </c>
      <c r="J102" s="18">
        <v>489.9</v>
      </c>
      <c r="K102" s="16">
        <v>2.0</v>
      </c>
      <c r="L102" s="18">
        <v>979.8</v>
      </c>
      <c r="M102" s="16" t="s">
        <v>2436</v>
      </c>
      <c r="N102" s="16" t="s">
        <v>2437</v>
      </c>
      <c r="O102" s="16" t="s">
        <v>2438</v>
      </c>
    </row>
    <row r="103" ht="15.75" customHeight="1">
      <c r="A103" s="15">
        <v>45581.0</v>
      </c>
      <c r="B103" s="16" t="s">
        <v>58</v>
      </c>
      <c r="C103" s="16" t="str">
        <f t="shared" si="1"/>
        <v>Guadalajara</v>
      </c>
      <c r="D103" s="16" t="str">
        <f t="shared" si="2"/>
        <v>Guadalajara</v>
      </c>
      <c r="E103" s="16" t="str">
        <f t="shared" si="3"/>
        <v>Guadalajara</v>
      </c>
      <c r="F103" s="16" t="s">
        <v>315</v>
      </c>
      <c r="G103" s="17" t="str">
        <f>IFERROR(__xludf.DUMMYFUNCTION("SPLIT(F103:F1102,""-"") "),"Teléfono")</f>
        <v>Teléfono</v>
      </c>
      <c r="H103" s="16" t="str">
        <f>IFERROR(__xludf.DUMMYFUNCTION("""COMPUTED_VALUE"""),"Gama baja")</f>
        <v>Gama baja</v>
      </c>
      <c r="I103" s="16" t="str">
        <f>IFERROR(__xludf.DUMMYFUNCTION("""COMPUTED_VALUE"""),"8GB")</f>
        <v>8GB</v>
      </c>
      <c r="J103" s="18">
        <v>1614.05</v>
      </c>
      <c r="K103" s="16">
        <v>1.0</v>
      </c>
      <c r="L103" s="18">
        <v>1614.05</v>
      </c>
      <c r="M103" s="16" t="s">
        <v>316</v>
      </c>
      <c r="N103" s="16" t="s">
        <v>317</v>
      </c>
      <c r="O103" s="16" t="s">
        <v>318</v>
      </c>
    </row>
    <row r="104" ht="15.75" customHeight="1">
      <c r="A104" s="19">
        <v>45422.0</v>
      </c>
      <c r="B104" s="16" t="s">
        <v>75</v>
      </c>
      <c r="C104" s="16" t="str">
        <f t="shared" si="1"/>
        <v>Cali</v>
      </c>
      <c r="D104" s="16" t="str">
        <f t="shared" si="2"/>
        <v>Cali</v>
      </c>
      <c r="E104" s="16" t="str">
        <f t="shared" si="3"/>
        <v>Cali</v>
      </c>
      <c r="F104" s="16" t="s">
        <v>125</v>
      </c>
      <c r="G104" s="17" t="str">
        <f>IFERROR(__xludf.DUMMYFUNCTION("SPLIT(F104:F1103,""-"") "),"Tel√©fono")</f>
        <v>Tel√©fono</v>
      </c>
      <c r="H104" s="16" t="str">
        <f>IFERROR(__xludf.DUMMYFUNCTION("""COMPUTED_VALUE"""),"Gama media")</f>
        <v>Gama media</v>
      </c>
      <c r="I104" s="16" t="str">
        <f>IFERROR(__xludf.DUMMYFUNCTION("""COMPUTED_VALUE"""),"8GB")</f>
        <v>8GB</v>
      </c>
      <c r="J104" s="18">
        <v>179.58</v>
      </c>
      <c r="K104" s="16">
        <v>3.0</v>
      </c>
      <c r="L104" s="18">
        <v>538.74</v>
      </c>
      <c r="M104" s="16" t="s">
        <v>2439</v>
      </c>
      <c r="N104" s="16" t="s">
        <v>2440</v>
      </c>
      <c r="O104" s="16" t="s">
        <v>2441</v>
      </c>
    </row>
    <row r="105" ht="15.75" customHeight="1">
      <c r="A105" s="15">
        <v>45568.0</v>
      </c>
      <c r="B105" s="16" t="s">
        <v>14</v>
      </c>
      <c r="C105" s="16" t="str">
        <f t="shared" si="1"/>
        <v>Bogotá</v>
      </c>
      <c r="D105" s="16" t="str">
        <f t="shared" si="2"/>
        <v>Bogotá</v>
      </c>
      <c r="E105" s="16" t="str">
        <f t="shared" si="3"/>
        <v>Bogotá</v>
      </c>
      <c r="F105" s="16" t="s">
        <v>10</v>
      </c>
      <c r="G105" s="17" t="str">
        <f>IFERROR(__xludf.DUMMYFUNCTION("SPLIT(F105:F1104,""-"") "),"Tablet")</f>
        <v>Tablet</v>
      </c>
      <c r="H105" s="16" t="str">
        <f>IFERROR(__xludf.DUMMYFUNCTION("""COMPUTED_VALUE"""),"Estándar")</f>
        <v>Estándar</v>
      </c>
      <c r="I105" s="16" t="str">
        <f>IFERROR(__xludf.DUMMYFUNCTION("""COMPUTED_VALUE"""),"8GB")</f>
        <v>8GB</v>
      </c>
      <c r="J105" s="18">
        <v>984.34</v>
      </c>
      <c r="K105" s="16">
        <v>3.0</v>
      </c>
      <c r="L105" s="18">
        <v>2953.02</v>
      </c>
      <c r="M105" s="16" t="s">
        <v>27</v>
      </c>
      <c r="N105" s="16" t="s">
        <v>28</v>
      </c>
      <c r="O105" s="16" t="s">
        <v>29</v>
      </c>
    </row>
    <row r="106" ht="15.75" customHeight="1">
      <c r="A106" s="15">
        <v>45655.0</v>
      </c>
      <c r="B106" s="16" t="s">
        <v>9</v>
      </c>
      <c r="C106" s="16" t="str">
        <f t="shared" si="1"/>
        <v>Monterrey</v>
      </c>
      <c r="D106" s="16" t="str">
        <f t="shared" si="2"/>
        <v>Monterrey</v>
      </c>
      <c r="E106" s="16" t="str">
        <f t="shared" si="3"/>
        <v>Monterrey</v>
      </c>
      <c r="F106" s="16" t="s">
        <v>67</v>
      </c>
      <c r="G106" s="17" t="str">
        <f>IFERROR(__xludf.DUMMYFUNCTION("SPLIT(F106:F1105,""-"") "),"Tablet")</f>
        <v>Tablet</v>
      </c>
      <c r="H106" s="16" t="str">
        <f>IFERROR(__xludf.DUMMYFUNCTION("""COMPUTED_VALUE"""),"Estándar")</f>
        <v>Estándar</v>
      </c>
      <c r="I106" s="16" t="str">
        <f>IFERROR(__xludf.DUMMYFUNCTION("""COMPUTED_VALUE"""),"4GB")</f>
        <v>4GB</v>
      </c>
      <c r="J106" s="18">
        <v>1456.46</v>
      </c>
      <c r="K106" s="16">
        <v>4.0</v>
      </c>
      <c r="L106" s="18">
        <v>5825.84</v>
      </c>
      <c r="M106" s="16" t="s">
        <v>2273</v>
      </c>
      <c r="N106" s="16" t="s">
        <v>2274</v>
      </c>
      <c r="O106" s="16" t="s">
        <v>2275</v>
      </c>
    </row>
    <row r="107" ht="15.75" customHeight="1">
      <c r="A107" s="19">
        <v>45642.0</v>
      </c>
      <c r="B107" s="16" t="s">
        <v>35</v>
      </c>
      <c r="C107" s="16" t="str">
        <f t="shared" si="1"/>
        <v>Medellín</v>
      </c>
      <c r="D107" s="16" t="str">
        <f t="shared" si="2"/>
        <v>Medellín</v>
      </c>
      <c r="E107" s="16" t="str">
        <f t="shared" si="3"/>
        <v>Medellín</v>
      </c>
      <c r="F107" s="16" t="s">
        <v>153</v>
      </c>
      <c r="G107" s="17" t="str">
        <f>IFERROR(__xludf.DUMMYFUNCTION("SPLIT(F107:F1106,""-"") "),"Laptop")</f>
        <v>Laptop</v>
      </c>
      <c r="H107" s="16" t="str">
        <f>IFERROR(__xludf.DUMMYFUNCTION("""COMPUTED_VALUE"""),"Gaming")</f>
        <v>Gaming</v>
      </c>
      <c r="I107" s="16" t="str">
        <f>IFERROR(__xludf.DUMMYFUNCTION("""COMPUTED_VALUE"""),"8GB")</f>
        <v>8GB</v>
      </c>
      <c r="J107" s="18">
        <v>421.27</v>
      </c>
      <c r="K107" s="16">
        <v>4.0</v>
      </c>
      <c r="L107" s="18">
        <v>1685.08</v>
      </c>
      <c r="M107" s="16" t="s">
        <v>1879</v>
      </c>
      <c r="N107" s="16" t="s">
        <v>1880</v>
      </c>
      <c r="O107" s="16" t="s">
        <v>1881</v>
      </c>
    </row>
    <row r="108" ht="15.75" customHeight="1">
      <c r="A108" s="19">
        <v>45628.0</v>
      </c>
      <c r="B108" s="16" t="s">
        <v>14</v>
      </c>
      <c r="C108" s="16" t="str">
        <f t="shared" si="1"/>
        <v>Bogotá</v>
      </c>
      <c r="D108" s="16" t="str">
        <f t="shared" si="2"/>
        <v>Bogotá</v>
      </c>
      <c r="E108" s="16" t="str">
        <f t="shared" si="3"/>
        <v>Bogotá</v>
      </c>
      <c r="F108" s="16" t="s">
        <v>171</v>
      </c>
      <c r="G108" s="17" t="str">
        <f>IFERROR(__xludf.DUMMYFUNCTION("SPLIT(F108:F1107,""-"") "),"Teléfono")</f>
        <v>Teléfono</v>
      </c>
      <c r="H108" s="16" t="str">
        <f>IFERROR(__xludf.DUMMYFUNCTION("""COMPUTED_VALUE"""),"Gama baja")</f>
        <v>Gama baja</v>
      </c>
      <c r="I108" s="16" t="str">
        <f>IFERROR(__xludf.DUMMYFUNCTION("""COMPUTED_VALUE"""),"4GB")</f>
        <v>4GB</v>
      </c>
      <c r="J108" s="18">
        <v>78.53</v>
      </c>
      <c r="K108" s="16">
        <v>2.0</v>
      </c>
      <c r="L108" s="18">
        <v>157.06</v>
      </c>
      <c r="M108" s="16" t="s">
        <v>1649</v>
      </c>
      <c r="N108" s="16" t="s">
        <v>1650</v>
      </c>
      <c r="O108" s="16" t="s">
        <v>1651</v>
      </c>
    </row>
    <row r="109" ht="15.75" customHeight="1">
      <c r="A109" s="19">
        <v>45455.0</v>
      </c>
      <c r="B109" s="16" t="s">
        <v>9</v>
      </c>
      <c r="C109" s="16" t="str">
        <f t="shared" si="1"/>
        <v>Monterrey</v>
      </c>
      <c r="D109" s="16" t="str">
        <f t="shared" si="2"/>
        <v>Monterrey</v>
      </c>
      <c r="E109" s="16" t="str">
        <f t="shared" si="3"/>
        <v>Monterrey</v>
      </c>
      <c r="F109" s="16" t="s">
        <v>389</v>
      </c>
      <c r="G109" s="17" t="str">
        <f>IFERROR(__xludf.DUMMYFUNCTION("SPLIT(F109:F1108,""-"") "),"Auriculares")</f>
        <v>Auriculares</v>
      </c>
      <c r="H109" s="16" t="str">
        <f>IFERROR(__xludf.DUMMYFUNCTION("""COMPUTED_VALUE"""),"Cancelación de ruido")</f>
        <v>Cancelación de ruido</v>
      </c>
      <c r="I109" s="16" t="str">
        <f>IFERROR(__xludf.DUMMYFUNCTION("""COMPUTED_VALUE"""),"4GB")</f>
        <v>4GB</v>
      </c>
      <c r="J109" s="18">
        <v>576.8</v>
      </c>
      <c r="K109" s="16">
        <v>3.0</v>
      </c>
      <c r="L109" s="18">
        <v>1730.4</v>
      </c>
      <c r="M109" s="16" t="s">
        <v>2442</v>
      </c>
      <c r="N109" s="16" t="s">
        <v>2443</v>
      </c>
      <c r="O109" s="16" t="s">
        <v>2444</v>
      </c>
    </row>
    <row r="110" ht="15.75" customHeight="1">
      <c r="A110" s="19">
        <v>45597.0</v>
      </c>
      <c r="B110" s="16" t="s">
        <v>9</v>
      </c>
      <c r="C110" s="16" t="str">
        <f t="shared" si="1"/>
        <v>Monterrey</v>
      </c>
      <c r="D110" s="16" t="str">
        <f t="shared" si="2"/>
        <v>Monterrey</v>
      </c>
      <c r="E110" s="16" t="str">
        <f t="shared" si="3"/>
        <v>Monterrey</v>
      </c>
      <c r="F110" s="16" t="s">
        <v>163</v>
      </c>
      <c r="G110" s="17" t="str">
        <f>IFERROR(__xludf.DUMMYFUNCTION("SPLIT(F110:F1109,""-"") "),"Laptop")</f>
        <v>Laptop</v>
      </c>
      <c r="H110" s="16" t="str">
        <f>IFERROR(__xludf.DUMMYFUNCTION("""COMPUTED_VALUE"""),"Oficina")</f>
        <v>Oficina</v>
      </c>
      <c r="I110" s="16" t="str">
        <f>IFERROR(__xludf.DUMMYFUNCTION("""COMPUTED_VALUE"""),"32GB")</f>
        <v>32GB</v>
      </c>
      <c r="J110" s="18">
        <v>719.59</v>
      </c>
      <c r="K110" s="16">
        <v>3.0</v>
      </c>
      <c r="L110" s="18">
        <v>2158.77</v>
      </c>
      <c r="M110" s="16" t="s">
        <v>803</v>
      </c>
      <c r="N110" s="16" t="s">
        <v>804</v>
      </c>
      <c r="O110" s="16" t="s">
        <v>805</v>
      </c>
    </row>
    <row r="111" ht="15.75" customHeight="1">
      <c r="A111" s="19">
        <v>45601.0</v>
      </c>
      <c r="B111" s="16" t="s">
        <v>2359</v>
      </c>
      <c r="C111" s="16" t="str">
        <f t="shared" si="1"/>
        <v>Ciudad De M√©Xico</v>
      </c>
      <c r="D111" s="16" t="str">
        <f t="shared" si="2"/>
        <v>Ciudad De M√©Xico</v>
      </c>
      <c r="E111" s="16" t="str">
        <f t="shared" si="3"/>
        <v>Ciudad De MéXico</v>
      </c>
      <c r="F111" s="16" t="s">
        <v>259</v>
      </c>
      <c r="G111" s="17" t="str">
        <f>IFERROR(__xludf.DUMMYFUNCTION("SPLIT(F111:F1110,""-"") "),"Auriculares")</f>
        <v>Auriculares</v>
      </c>
      <c r="H111" s="16" t="str">
        <f>IFERROR(__xludf.DUMMYFUNCTION("""COMPUTED_VALUE"""),"Cancelación de ruido")</f>
        <v>Cancelación de ruido</v>
      </c>
      <c r="I111" s="16" t="str">
        <f>IFERROR(__xludf.DUMMYFUNCTION("""COMPUTED_VALUE"""),"8GB")</f>
        <v>8GB</v>
      </c>
      <c r="J111" s="18">
        <v>1050.44</v>
      </c>
      <c r="K111" s="16">
        <v>5.0</v>
      </c>
      <c r="L111" s="18">
        <v>5252.2</v>
      </c>
      <c r="M111" s="16" t="s">
        <v>849</v>
      </c>
      <c r="N111" s="16" t="s">
        <v>850</v>
      </c>
      <c r="O111" s="16" t="s">
        <v>851</v>
      </c>
    </row>
    <row r="112" ht="15.75" customHeight="1">
      <c r="A112" s="19">
        <v>45635.0</v>
      </c>
      <c r="B112" s="16" t="s">
        <v>2359</v>
      </c>
      <c r="C112" s="16" t="str">
        <f t="shared" si="1"/>
        <v>Ciudad De M√©Xico</v>
      </c>
      <c r="D112" s="16" t="str">
        <f t="shared" si="2"/>
        <v>Ciudad De M√©Xico</v>
      </c>
      <c r="E112" s="16" t="str">
        <f t="shared" si="3"/>
        <v>Ciudad De MéXico</v>
      </c>
      <c r="F112" s="16" t="s">
        <v>373</v>
      </c>
      <c r="G112" s="17" t="str">
        <f>IFERROR(__xludf.DUMMYFUNCTION("SPLIT(F112:F1111,""-"") "),"Teléfono")</f>
        <v>Teléfono</v>
      </c>
      <c r="H112" s="16" t="str">
        <f>IFERROR(__xludf.DUMMYFUNCTION("""COMPUTED_VALUE"""),"Gama media")</f>
        <v>Gama media</v>
      </c>
      <c r="I112" s="16" t="str">
        <f>IFERROR(__xludf.DUMMYFUNCTION("""COMPUTED_VALUE"""),"16GB")</f>
        <v>16GB</v>
      </c>
      <c r="J112" s="18">
        <v>166.45</v>
      </c>
      <c r="K112" s="16">
        <v>5.0</v>
      </c>
      <c r="L112" s="18">
        <v>832.25</v>
      </c>
      <c r="M112" s="16" t="s">
        <v>1715</v>
      </c>
      <c r="N112" s="16" t="s">
        <v>1716</v>
      </c>
      <c r="O112" s="16" t="s">
        <v>1717</v>
      </c>
    </row>
    <row r="113" ht="15.75" customHeight="1">
      <c r="A113" s="15">
        <v>45585.0</v>
      </c>
      <c r="B113" s="16" t="s">
        <v>2359</v>
      </c>
      <c r="C113" s="16" t="str">
        <f t="shared" si="1"/>
        <v>Ciudad De M√©Xico</v>
      </c>
      <c r="D113" s="16" t="str">
        <f t="shared" si="2"/>
        <v>Ciudad De M√©Xico</v>
      </c>
      <c r="E113" s="16" t="str">
        <f t="shared" si="3"/>
        <v>Ciudad De MéXico</v>
      </c>
      <c r="F113" s="16" t="s">
        <v>67</v>
      </c>
      <c r="G113" s="17" t="str">
        <f>IFERROR(__xludf.DUMMYFUNCTION("SPLIT(F113:F1112,""-"") "),"Tablet")</f>
        <v>Tablet</v>
      </c>
      <c r="H113" s="16" t="str">
        <f>IFERROR(__xludf.DUMMYFUNCTION("""COMPUTED_VALUE"""),"Estándar")</f>
        <v>Estándar</v>
      </c>
      <c r="I113" s="16" t="str">
        <f>IFERROR(__xludf.DUMMYFUNCTION("""COMPUTED_VALUE"""),"4GB")</f>
        <v>4GB</v>
      </c>
      <c r="J113" s="18">
        <v>2299.22</v>
      </c>
      <c r="K113" s="16">
        <v>5.0</v>
      </c>
      <c r="L113" s="18">
        <v>11496.1</v>
      </c>
      <c r="M113" s="16" t="s">
        <v>458</v>
      </c>
      <c r="N113" s="16" t="s">
        <v>459</v>
      </c>
      <c r="O113" s="16" t="s">
        <v>460</v>
      </c>
    </row>
    <row r="114" ht="15.75" customHeight="1">
      <c r="A114" s="19" t="s">
        <v>2445</v>
      </c>
      <c r="B114" s="16" t="s">
        <v>35</v>
      </c>
      <c r="C114" s="16" t="str">
        <f t="shared" si="1"/>
        <v>Medellín</v>
      </c>
      <c r="D114" s="16" t="str">
        <f t="shared" si="2"/>
        <v>Medellín</v>
      </c>
      <c r="E114" s="16" t="str">
        <f t="shared" si="3"/>
        <v>Medellín</v>
      </c>
      <c r="F114" s="16" t="s">
        <v>31</v>
      </c>
      <c r="G114" s="17" t="str">
        <f>IFERROR(__xludf.DUMMYFUNCTION("SPLIT(F114:F1113,""-"") "),"Teléfono")</f>
        <v>Teléfono</v>
      </c>
      <c r="H114" s="16" t="str">
        <f>IFERROR(__xludf.DUMMYFUNCTION("""COMPUTED_VALUE"""),"Gama alta")</f>
        <v>Gama alta</v>
      </c>
      <c r="I114" s="16" t="str">
        <f>IFERROR(__xludf.DUMMYFUNCTION("""COMPUTED_VALUE"""),"32GB")</f>
        <v>32GB</v>
      </c>
      <c r="J114" s="18">
        <v>599.4</v>
      </c>
      <c r="K114" s="16">
        <v>1.0</v>
      </c>
      <c r="L114" s="18">
        <v>599.4</v>
      </c>
      <c r="M114" s="16" t="s">
        <v>2446</v>
      </c>
      <c r="N114" s="16" t="s">
        <v>2447</v>
      </c>
      <c r="O114" s="16" t="s">
        <v>2448</v>
      </c>
    </row>
    <row r="115" ht="15.75" customHeight="1">
      <c r="A115" s="15">
        <v>45572.0</v>
      </c>
      <c r="B115" s="16" t="s">
        <v>2359</v>
      </c>
      <c r="C115" s="16" t="str">
        <f t="shared" si="1"/>
        <v>Ciudad De M√©Xico</v>
      </c>
      <c r="D115" s="16" t="str">
        <f t="shared" si="2"/>
        <v>Ciudad De M√©Xico</v>
      </c>
      <c r="E115" s="16" t="str">
        <f t="shared" si="3"/>
        <v>Ciudad De MéXico</v>
      </c>
      <c r="F115" s="16" t="s">
        <v>54</v>
      </c>
      <c r="G115" s="17" t="str">
        <f>IFERROR(__xludf.DUMMYFUNCTION("SPLIT(F115:F1114,""-"") "),"Laptop")</f>
        <v>Laptop</v>
      </c>
      <c r="H115" s="16" t="str">
        <f>IFERROR(__xludf.DUMMYFUNCTION("""COMPUTED_VALUE"""),"Oficina")</f>
        <v>Oficina</v>
      </c>
      <c r="I115" s="16" t="str">
        <f>IFERROR(__xludf.DUMMYFUNCTION("""COMPUTED_VALUE"""),"8GB")</f>
        <v>8GB</v>
      </c>
      <c r="J115" s="18">
        <v>370.25</v>
      </c>
      <c r="K115" s="16">
        <v>4.0</v>
      </c>
      <c r="L115" s="18">
        <v>1481.0</v>
      </c>
      <c r="M115" s="16" t="s">
        <v>55</v>
      </c>
      <c r="N115" s="16" t="s">
        <v>56</v>
      </c>
      <c r="O115" s="16" t="s">
        <v>57</v>
      </c>
    </row>
    <row r="116" ht="15.75" customHeight="1">
      <c r="A116" s="19" t="s">
        <v>2376</v>
      </c>
      <c r="B116" s="16" t="s">
        <v>2359</v>
      </c>
      <c r="C116" s="16" t="str">
        <f t="shared" si="1"/>
        <v>Ciudad De M√©Xico</v>
      </c>
      <c r="D116" s="16" t="str">
        <f t="shared" si="2"/>
        <v>Ciudad De M√©Xico</v>
      </c>
      <c r="E116" s="16" t="str">
        <f t="shared" si="3"/>
        <v>Ciudad De MéXico</v>
      </c>
      <c r="F116" s="16" t="s">
        <v>186</v>
      </c>
      <c r="G116" s="17" t="str">
        <f>IFERROR(__xludf.DUMMYFUNCTION("SPLIT(F116:F1115,""-"") "),"Auriculares")</f>
        <v>Auriculares</v>
      </c>
      <c r="H116" s="16" t="str">
        <f>IFERROR(__xludf.DUMMYFUNCTION("""COMPUTED_VALUE"""),"Cancelaci√≥n de ruido")</f>
        <v>Cancelaci√≥n de ruido</v>
      </c>
      <c r="I116" s="16" t="str">
        <f>IFERROR(__xludf.DUMMYFUNCTION("""COMPUTED_VALUE"""),"16GB")</f>
        <v>16GB</v>
      </c>
      <c r="J116" s="18">
        <v>1747.28</v>
      </c>
      <c r="K116" s="16">
        <v>1.0</v>
      </c>
      <c r="L116" s="18">
        <v>1747.28</v>
      </c>
      <c r="M116" s="16" t="s">
        <v>2449</v>
      </c>
      <c r="N116" s="16" t="s">
        <v>2450</v>
      </c>
      <c r="O116" s="16" t="s">
        <v>2451</v>
      </c>
    </row>
    <row r="117" ht="15.75" customHeight="1">
      <c r="A117" s="15">
        <v>45595.0</v>
      </c>
      <c r="B117" s="16" t="s">
        <v>58</v>
      </c>
      <c r="C117" s="16" t="str">
        <f t="shared" si="1"/>
        <v>Guadalajara</v>
      </c>
      <c r="D117" s="16" t="str">
        <f t="shared" si="2"/>
        <v>Guadalajara</v>
      </c>
      <c r="E117" s="16" t="str">
        <f t="shared" si="3"/>
        <v>Guadalajara</v>
      </c>
      <c r="F117" s="16" t="s">
        <v>163</v>
      </c>
      <c r="G117" s="17" t="str">
        <f>IFERROR(__xludf.DUMMYFUNCTION("SPLIT(F117:F1116,""-"") "),"Laptop")</f>
        <v>Laptop</v>
      </c>
      <c r="H117" s="16" t="str">
        <f>IFERROR(__xludf.DUMMYFUNCTION("""COMPUTED_VALUE"""),"Oficina")</f>
        <v>Oficina</v>
      </c>
      <c r="I117" s="16" t="str">
        <f>IFERROR(__xludf.DUMMYFUNCTION("""COMPUTED_VALUE"""),"32GB")</f>
        <v>32GB</v>
      </c>
      <c r="J117" s="18">
        <v>1099.54</v>
      </c>
      <c r="K117" s="16">
        <v>2.0</v>
      </c>
      <c r="L117" s="18">
        <v>2199.08</v>
      </c>
      <c r="M117" s="16" t="s">
        <v>766</v>
      </c>
      <c r="N117" s="16" t="s">
        <v>767</v>
      </c>
      <c r="O117" s="16" t="s">
        <v>768</v>
      </c>
    </row>
    <row r="118" ht="15.75" customHeight="1">
      <c r="A118" s="19">
        <v>45575.0</v>
      </c>
      <c r="B118" s="16" t="s">
        <v>35</v>
      </c>
      <c r="C118" s="16" t="str">
        <f t="shared" si="1"/>
        <v>Medellín</v>
      </c>
      <c r="D118" s="16" t="str">
        <f t="shared" si="2"/>
        <v>Medellín</v>
      </c>
      <c r="E118" s="16" t="str">
        <f t="shared" si="3"/>
        <v>Medellín</v>
      </c>
      <c r="F118" s="16" t="s">
        <v>85</v>
      </c>
      <c r="G118" s="17" t="str">
        <f>IFERROR(__xludf.DUMMYFUNCTION("SPLIT(F118:F1117,""-"") "),"Teléfono")</f>
        <v>Teléfono</v>
      </c>
      <c r="H118" s="16" t="str">
        <f>IFERROR(__xludf.DUMMYFUNCTION("""COMPUTED_VALUE"""),"Gama media")</f>
        <v>Gama media</v>
      </c>
      <c r="I118" s="16" t="str">
        <f>IFERROR(__xludf.DUMMYFUNCTION("""COMPUTED_VALUE"""),"32GB")</f>
        <v>32GB</v>
      </c>
      <c r="J118" s="18">
        <v>157.57</v>
      </c>
      <c r="K118" s="16">
        <v>2.0</v>
      </c>
      <c r="L118" s="18">
        <v>315.14</v>
      </c>
      <c r="M118" s="16" t="s">
        <v>86</v>
      </c>
      <c r="N118" s="16" t="s">
        <v>87</v>
      </c>
      <c r="O118" s="16" t="s">
        <v>88</v>
      </c>
    </row>
    <row r="119" ht="15.75" customHeight="1">
      <c r="A119" s="19" t="s">
        <v>2452</v>
      </c>
      <c r="B119" s="16" t="s">
        <v>2359</v>
      </c>
      <c r="C119" s="16" t="str">
        <f t="shared" si="1"/>
        <v>Ciudad De M√©Xico</v>
      </c>
      <c r="D119" s="16" t="str">
        <f t="shared" si="2"/>
        <v>Ciudad De M√©Xico</v>
      </c>
      <c r="E119" s="16" t="str">
        <f t="shared" si="3"/>
        <v>Ciudad De MéXico</v>
      </c>
      <c r="F119" s="16" t="s">
        <v>186</v>
      </c>
      <c r="G119" s="17" t="str">
        <f>IFERROR(__xludf.DUMMYFUNCTION("SPLIT(F119:F1118,""-"") "),"Auriculares")</f>
        <v>Auriculares</v>
      </c>
      <c r="H119" s="16" t="str">
        <f>IFERROR(__xludf.DUMMYFUNCTION("""COMPUTED_VALUE"""),"Cancelaci√≥n de ruido")</f>
        <v>Cancelaci√≥n de ruido</v>
      </c>
      <c r="I119" s="16" t="str">
        <f>IFERROR(__xludf.DUMMYFUNCTION("""COMPUTED_VALUE"""),"16GB")</f>
        <v>16GB</v>
      </c>
      <c r="J119" s="18">
        <v>2200.84</v>
      </c>
      <c r="K119" s="16">
        <v>3.0</v>
      </c>
      <c r="L119" s="18">
        <v>6602.52</v>
      </c>
      <c r="M119" s="16" t="s">
        <v>2453</v>
      </c>
      <c r="N119" s="16" t="s">
        <v>2454</v>
      </c>
      <c r="O119" s="16" t="s">
        <v>2455</v>
      </c>
    </row>
    <row r="120" ht="15.75" customHeight="1">
      <c r="A120" s="19">
        <v>45646.0</v>
      </c>
      <c r="B120" s="16" t="s">
        <v>35</v>
      </c>
      <c r="C120" s="16" t="str">
        <f t="shared" si="1"/>
        <v>Medellín</v>
      </c>
      <c r="D120" s="16" t="str">
        <f t="shared" si="2"/>
        <v>Medellín</v>
      </c>
      <c r="E120" s="16" t="str">
        <f t="shared" si="3"/>
        <v>Medellín</v>
      </c>
      <c r="F120" s="16" t="s">
        <v>85</v>
      </c>
      <c r="G120" s="17" t="str">
        <f>IFERROR(__xludf.DUMMYFUNCTION("SPLIT(F120:F1119,""-"") "),"Teléfono")</f>
        <v>Teléfono</v>
      </c>
      <c r="H120" s="16" t="str">
        <f>IFERROR(__xludf.DUMMYFUNCTION("""COMPUTED_VALUE"""),"Gama media")</f>
        <v>Gama media</v>
      </c>
      <c r="I120" s="16" t="str">
        <f>IFERROR(__xludf.DUMMYFUNCTION("""COMPUTED_VALUE"""),"32GB")</f>
        <v>32GB</v>
      </c>
      <c r="J120" s="18">
        <v>290.07</v>
      </c>
      <c r="K120" s="16">
        <v>4.0</v>
      </c>
      <c r="L120" s="18">
        <v>1160.28</v>
      </c>
      <c r="M120" s="16" t="s">
        <v>2008</v>
      </c>
      <c r="N120" s="16" t="s">
        <v>2009</v>
      </c>
      <c r="O120" s="16" t="s">
        <v>2010</v>
      </c>
    </row>
    <row r="121" ht="15.75" customHeight="1">
      <c r="A121" s="15">
        <v>45640.0</v>
      </c>
      <c r="B121" s="16" t="s">
        <v>9</v>
      </c>
      <c r="C121" s="16" t="str">
        <f t="shared" si="1"/>
        <v>Monterrey</v>
      </c>
      <c r="D121" s="16" t="str">
        <f t="shared" si="2"/>
        <v>Monterrey</v>
      </c>
      <c r="E121" s="16" t="str">
        <f t="shared" si="3"/>
        <v>Monterrey</v>
      </c>
      <c r="F121" s="16" t="s">
        <v>186</v>
      </c>
      <c r="G121" s="17" t="str">
        <f>IFERROR(__xludf.DUMMYFUNCTION("SPLIT(F121:F1120,""-"") "),"Auriculares")</f>
        <v>Auriculares</v>
      </c>
      <c r="H121" s="16" t="str">
        <f>IFERROR(__xludf.DUMMYFUNCTION("""COMPUTED_VALUE"""),"Cancelaci√≥n de ruido")</f>
        <v>Cancelaci√≥n de ruido</v>
      </c>
      <c r="I121" s="16" t="str">
        <f>IFERROR(__xludf.DUMMYFUNCTION("""COMPUTED_VALUE"""),"16GB")</f>
        <v>16GB</v>
      </c>
      <c r="J121" s="18">
        <v>2312.52</v>
      </c>
      <c r="K121" s="16">
        <v>1.0</v>
      </c>
      <c r="L121" s="18">
        <v>2312.52</v>
      </c>
      <c r="M121" s="16" t="s">
        <v>1827</v>
      </c>
      <c r="N121" s="16" t="s">
        <v>1828</v>
      </c>
      <c r="O121" s="16" t="s">
        <v>1829</v>
      </c>
    </row>
    <row r="122" ht="15.75" customHeight="1">
      <c r="A122" s="19" t="s">
        <v>2413</v>
      </c>
      <c r="B122" s="16" t="s">
        <v>35</v>
      </c>
      <c r="C122" s="16" t="str">
        <f t="shared" si="1"/>
        <v>Medellín</v>
      </c>
      <c r="D122" s="16" t="str">
        <f t="shared" si="2"/>
        <v>Medellín</v>
      </c>
      <c r="E122" s="16" t="str">
        <f t="shared" si="3"/>
        <v>Medellín</v>
      </c>
      <c r="F122" s="16" t="s">
        <v>186</v>
      </c>
      <c r="G122" s="17" t="str">
        <f>IFERROR(__xludf.DUMMYFUNCTION("SPLIT(F122:F1121,""-"") "),"Auriculares")</f>
        <v>Auriculares</v>
      </c>
      <c r="H122" s="16" t="str">
        <f>IFERROR(__xludf.DUMMYFUNCTION("""COMPUTED_VALUE"""),"Cancelaci√≥n de ruido")</f>
        <v>Cancelaci√≥n de ruido</v>
      </c>
      <c r="I122" s="16" t="str">
        <f>IFERROR(__xludf.DUMMYFUNCTION("""COMPUTED_VALUE"""),"16GB")</f>
        <v>16GB</v>
      </c>
      <c r="J122" s="18">
        <v>1401.28</v>
      </c>
      <c r="K122" s="16">
        <v>5.0</v>
      </c>
      <c r="L122" s="18">
        <v>7006.4</v>
      </c>
      <c r="M122" s="16" t="s">
        <v>2456</v>
      </c>
      <c r="N122" s="16" t="s">
        <v>2457</v>
      </c>
      <c r="O122" s="16" t="s">
        <v>2458</v>
      </c>
    </row>
    <row r="123" ht="15.75" customHeight="1">
      <c r="A123" s="19" t="s">
        <v>2364</v>
      </c>
      <c r="B123" s="16" t="s">
        <v>14</v>
      </c>
      <c r="C123" s="16" t="str">
        <f t="shared" si="1"/>
        <v>Bogotá</v>
      </c>
      <c r="D123" s="16" t="str">
        <f t="shared" si="2"/>
        <v>Bogotá</v>
      </c>
      <c r="E123" s="16" t="str">
        <f t="shared" si="3"/>
        <v>Bogotá</v>
      </c>
      <c r="F123" s="16" t="s">
        <v>76</v>
      </c>
      <c r="G123" s="17" t="str">
        <f>IFERROR(__xludf.DUMMYFUNCTION("SPLIT(F123:F1122,""-"") "),"Tablet")</f>
        <v>Tablet</v>
      </c>
      <c r="H123" s="16" t="str">
        <f>IFERROR(__xludf.DUMMYFUNCTION("""COMPUTED_VALUE"""),"Mini")</f>
        <v>Mini</v>
      </c>
      <c r="I123" s="16" t="str">
        <f>IFERROR(__xludf.DUMMYFUNCTION("""COMPUTED_VALUE"""),"32GB")</f>
        <v>32GB</v>
      </c>
      <c r="J123" s="18">
        <v>1407.68</v>
      </c>
      <c r="K123" s="16">
        <v>3.0</v>
      </c>
      <c r="L123" s="18">
        <v>4223.04</v>
      </c>
      <c r="M123" s="16" t="s">
        <v>2459</v>
      </c>
      <c r="N123" s="16" t="s">
        <v>2460</v>
      </c>
      <c r="O123" s="16" t="s">
        <v>2461</v>
      </c>
    </row>
    <row r="124" ht="15.75" customHeight="1">
      <c r="A124" s="19">
        <v>45303.0</v>
      </c>
      <c r="B124" s="16" t="s">
        <v>75</v>
      </c>
      <c r="C124" s="16" t="str">
        <f t="shared" si="1"/>
        <v>Cali</v>
      </c>
      <c r="D124" s="16" t="str">
        <f t="shared" si="2"/>
        <v>Cali</v>
      </c>
      <c r="E124" s="16" t="str">
        <f t="shared" si="3"/>
        <v>Cali</v>
      </c>
      <c r="F124" s="16" t="s">
        <v>81</v>
      </c>
      <c r="G124" s="17" t="str">
        <f>IFERROR(__xludf.DUMMYFUNCTION("SPLIT(F124:F1123,""-"") "),"Laptop")</f>
        <v>Laptop</v>
      </c>
      <c r="H124" s="16" t="str">
        <f>IFERROR(__xludf.DUMMYFUNCTION("""COMPUTED_VALUE"""),"Oficina")</f>
        <v>Oficina</v>
      </c>
      <c r="I124" s="16" t="str">
        <f>IFERROR(__xludf.DUMMYFUNCTION("""COMPUTED_VALUE"""),"16GB")</f>
        <v>16GB</v>
      </c>
      <c r="J124" s="18">
        <v>2044.86</v>
      </c>
      <c r="K124" s="16">
        <v>3.0</v>
      </c>
      <c r="L124" s="18">
        <v>6134.58</v>
      </c>
      <c r="M124" s="16" t="s">
        <v>2462</v>
      </c>
      <c r="N124" s="16" t="s">
        <v>2463</v>
      </c>
      <c r="O124" s="16" t="s">
        <v>2464</v>
      </c>
    </row>
    <row r="125" ht="15.75" customHeight="1">
      <c r="A125" s="19" t="s">
        <v>2452</v>
      </c>
      <c r="B125" s="16" t="s">
        <v>14</v>
      </c>
      <c r="C125" s="16" t="str">
        <f t="shared" si="1"/>
        <v>Bogotá</v>
      </c>
      <c r="D125" s="16" t="str">
        <f t="shared" si="2"/>
        <v>Bogotá</v>
      </c>
      <c r="E125" s="16" t="str">
        <f t="shared" si="3"/>
        <v>Bogotá</v>
      </c>
      <c r="F125" s="16" t="s">
        <v>259</v>
      </c>
      <c r="G125" s="17" t="str">
        <f>IFERROR(__xludf.DUMMYFUNCTION("SPLIT(F125:F1124,""-"") "),"Auriculares")</f>
        <v>Auriculares</v>
      </c>
      <c r="H125" s="16" t="str">
        <f>IFERROR(__xludf.DUMMYFUNCTION("""COMPUTED_VALUE"""),"Cancelación de ruido")</f>
        <v>Cancelación de ruido</v>
      </c>
      <c r="I125" s="16" t="str">
        <f>IFERROR(__xludf.DUMMYFUNCTION("""COMPUTED_VALUE"""),"8GB")</f>
        <v>8GB</v>
      </c>
      <c r="J125" s="18">
        <v>2425.49</v>
      </c>
      <c r="K125" s="16">
        <v>5.0</v>
      </c>
      <c r="L125" s="18">
        <v>12127.45</v>
      </c>
      <c r="M125" s="16" t="s">
        <v>2465</v>
      </c>
      <c r="N125" s="16" t="s">
        <v>2466</v>
      </c>
      <c r="O125" s="16" t="s">
        <v>2467</v>
      </c>
    </row>
    <row r="126" ht="15.75" customHeight="1">
      <c r="A126" s="19">
        <v>45616.0</v>
      </c>
      <c r="B126" s="16" t="s">
        <v>58</v>
      </c>
      <c r="C126" s="16" t="str">
        <f t="shared" si="1"/>
        <v>Guadalajara</v>
      </c>
      <c r="D126" s="16" t="str">
        <f t="shared" si="2"/>
        <v>Guadalajara</v>
      </c>
      <c r="E126" s="16" t="str">
        <f t="shared" si="3"/>
        <v>Guadalajara</v>
      </c>
      <c r="F126" s="16" t="s">
        <v>94</v>
      </c>
      <c r="G126" s="17" t="str">
        <f>IFERROR(__xludf.DUMMYFUNCTION("SPLIT(F126:F1125,""-"") "),"Tablet")</f>
        <v>Tablet</v>
      </c>
      <c r="H126" s="16" t="str">
        <f>IFERROR(__xludf.DUMMYFUNCTION("""COMPUTED_VALUE"""),"Mini")</f>
        <v>Mini</v>
      </c>
      <c r="I126" s="16" t="str">
        <f>IFERROR(__xludf.DUMMYFUNCTION("""COMPUTED_VALUE"""),"8GB")</f>
        <v>8GB</v>
      </c>
      <c r="J126" s="18">
        <v>1752.92</v>
      </c>
      <c r="K126" s="16">
        <v>1.0</v>
      </c>
      <c r="L126" s="18">
        <v>1752.92</v>
      </c>
      <c r="M126" s="16" t="s">
        <v>1302</v>
      </c>
      <c r="N126" s="16" t="s">
        <v>1303</v>
      </c>
      <c r="O126" s="16" t="s">
        <v>1304</v>
      </c>
    </row>
    <row r="127" ht="15.75" customHeight="1">
      <c r="A127" s="15">
        <v>45653.0</v>
      </c>
      <c r="B127" s="16" t="s">
        <v>2359</v>
      </c>
      <c r="C127" s="16" t="str">
        <f t="shared" si="1"/>
        <v>Ciudad De M√©Xico</v>
      </c>
      <c r="D127" s="16" t="str">
        <f t="shared" si="2"/>
        <v>Ciudad De M√©Xico</v>
      </c>
      <c r="E127" s="16" t="str">
        <f t="shared" si="3"/>
        <v>Ciudad De MéXico</v>
      </c>
      <c r="F127" s="16" t="s">
        <v>10</v>
      </c>
      <c r="G127" s="17" t="str">
        <f>IFERROR(__xludf.DUMMYFUNCTION("SPLIT(F127:F1126,""-"") "),"Tablet")</f>
        <v>Tablet</v>
      </c>
      <c r="H127" s="16" t="str">
        <f>IFERROR(__xludf.DUMMYFUNCTION("""COMPUTED_VALUE"""),"Estándar")</f>
        <v>Estándar</v>
      </c>
      <c r="I127" s="16" t="str">
        <f>IFERROR(__xludf.DUMMYFUNCTION("""COMPUTED_VALUE"""),"8GB")</f>
        <v>8GB</v>
      </c>
      <c r="J127" s="18">
        <v>1935.15</v>
      </c>
      <c r="K127" s="16">
        <v>3.0</v>
      </c>
      <c r="L127" s="18">
        <v>5805.45</v>
      </c>
      <c r="M127" s="16" t="s">
        <v>2213</v>
      </c>
      <c r="N127" s="16" t="s">
        <v>2214</v>
      </c>
      <c r="O127" s="16" t="s">
        <v>2215</v>
      </c>
    </row>
    <row r="128" ht="15.75" customHeight="1">
      <c r="A128" s="19">
        <v>45600.0</v>
      </c>
      <c r="B128" s="16" t="s">
        <v>35</v>
      </c>
      <c r="C128" s="16" t="str">
        <f t="shared" si="1"/>
        <v>Medellín</v>
      </c>
      <c r="D128" s="16" t="str">
        <f t="shared" si="2"/>
        <v>Medellín</v>
      </c>
      <c r="E128" s="16" t="str">
        <f t="shared" si="3"/>
        <v>Medellín</v>
      </c>
      <c r="F128" s="16" t="s">
        <v>839</v>
      </c>
      <c r="G128" s="17" t="str">
        <f>IFERROR(__xludf.DUMMYFUNCTION("SPLIT(F128:F1127,""-"") "),"Teléfono")</f>
        <v>Teléfono</v>
      </c>
      <c r="H128" s="16" t="str">
        <f>IFERROR(__xludf.DUMMYFUNCTION("""COMPUTED_VALUE"""),"Gama alta")</f>
        <v>Gama alta</v>
      </c>
      <c r="I128" s="16" t="str">
        <f>IFERROR(__xludf.DUMMYFUNCTION("""COMPUTED_VALUE"""),"32GB ")</f>
        <v>32GB </v>
      </c>
      <c r="J128" s="18">
        <v>1612.87</v>
      </c>
      <c r="K128" s="16">
        <v>4.0</v>
      </c>
      <c r="L128" s="18">
        <v>6451.48</v>
      </c>
      <c r="M128" s="16" t="s">
        <v>840</v>
      </c>
      <c r="N128" s="16" t="s">
        <v>841</v>
      </c>
      <c r="O128" s="16" t="s">
        <v>842</v>
      </c>
    </row>
    <row r="129" ht="15.75" customHeight="1">
      <c r="A129" s="19" t="s">
        <v>2468</v>
      </c>
      <c r="B129" s="16" t="s">
        <v>35</v>
      </c>
      <c r="C129" s="16" t="str">
        <f t="shared" si="1"/>
        <v>Medellín</v>
      </c>
      <c r="D129" s="16" t="str">
        <f t="shared" si="2"/>
        <v>Medellín</v>
      </c>
      <c r="E129" s="16" t="str">
        <f t="shared" si="3"/>
        <v>Medellín</v>
      </c>
      <c r="F129" s="16" t="s">
        <v>81</v>
      </c>
      <c r="G129" s="17" t="str">
        <f>IFERROR(__xludf.DUMMYFUNCTION("SPLIT(F129:F1128,""-"") "),"Laptop")</f>
        <v>Laptop</v>
      </c>
      <c r="H129" s="16" t="str">
        <f>IFERROR(__xludf.DUMMYFUNCTION("""COMPUTED_VALUE"""),"Oficina")</f>
        <v>Oficina</v>
      </c>
      <c r="I129" s="16" t="str">
        <f>IFERROR(__xludf.DUMMYFUNCTION("""COMPUTED_VALUE"""),"16GB")</f>
        <v>16GB</v>
      </c>
      <c r="J129" s="18">
        <v>1105.02</v>
      </c>
      <c r="K129" s="16">
        <v>5.0</v>
      </c>
      <c r="L129" s="18">
        <v>5525.1</v>
      </c>
      <c r="M129" s="16" t="s">
        <v>2469</v>
      </c>
      <c r="N129" s="16" t="s">
        <v>2470</v>
      </c>
      <c r="O129" s="16" t="s">
        <v>2471</v>
      </c>
    </row>
    <row r="130" ht="15.75" customHeight="1">
      <c r="A130" s="19">
        <v>45583.0</v>
      </c>
      <c r="B130" s="16" t="s">
        <v>75</v>
      </c>
      <c r="C130" s="16" t="str">
        <f t="shared" si="1"/>
        <v>Cali</v>
      </c>
      <c r="D130" s="16" t="str">
        <f t="shared" si="2"/>
        <v>Cali</v>
      </c>
      <c r="E130" s="16" t="str">
        <f t="shared" si="3"/>
        <v>Cali</v>
      </c>
      <c r="F130" s="16" t="s">
        <v>389</v>
      </c>
      <c r="G130" s="17" t="str">
        <f>IFERROR(__xludf.DUMMYFUNCTION("SPLIT(F130:F1129,""-"") "),"Auriculares")</f>
        <v>Auriculares</v>
      </c>
      <c r="H130" s="16" t="str">
        <f>IFERROR(__xludf.DUMMYFUNCTION("""COMPUTED_VALUE"""),"Cancelación de ruido")</f>
        <v>Cancelación de ruido</v>
      </c>
      <c r="I130" s="16" t="str">
        <f>IFERROR(__xludf.DUMMYFUNCTION("""COMPUTED_VALUE"""),"4GB")</f>
        <v>4GB</v>
      </c>
      <c r="J130" s="18">
        <v>594.52</v>
      </c>
      <c r="K130" s="16">
        <v>2.0</v>
      </c>
      <c r="L130" s="18">
        <v>1189.04</v>
      </c>
      <c r="M130" s="16" t="s">
        <v>390</v>
      </c>
      <c r="N130" s="16" t="s">
        <v>391</v>
      </c>
      <c r="O130" s="16" t="s">
        <v>392</v>
      </c>
    </row>
    <row r="131" ht="15.75" customHeight="1">
      <c r="A131" s="19">
        <v>45585.0</v>
      </c>
      <c r="B131" s="16" t="s">
        <v>2359</v>
      </c>
      <c r="C131" s="16" t="str">
        <f t="shared" si="1"/>
        <v>Ciudad De M√©Xico</v>
      </c>
      <c r="D131" s="16" t="str">
        <f t="shared" si="2"/>
        <v>Ciudad De M√©Xico</v>
      </c>
      <c r="E131" s="16" t="str">
        <f t="shared" si="3"/>
        <v>Ciudad De MéXico</v>
      </c>
      <c r="F131" s="16" t="s">
        <v>40</v>
      </c>
      <c r="G131" s="17" t="str">
        <f>IFERROR(__xludf.DUMMYFUNCTION("SPLIT(F131:F1130,""-"") "),"Auriculares")</f>
        <v>Auriculares</v>
      </c>
      <c r="H131" s="16" t="str">
        <f>IFERROR(__xludf.DUMMYFUNCTION("""COMPUTED_VALUE"""),"Con cable")</f>
        <v>Con cable</v>
      </c>
      <c r="I131" s="16" t="str">
        <f>IFERROR(__xludf.DUMMYFUNCTION("""COMPUTED_VALUE"""),"8GB")</f>
        <v>8GB</v>
      </c>
      <c r="J131" s="18">
        <v>1077.13</v>
      </c>
      <c r="K131" s="16">
        <v>5.0</v>
      </c>
      <c r="L131" s="18">
        <v>5385.65</v>
      </c>
      <c r="M131" s="16" t="s">
        <v>461</v>
      </c>
      <c r="N131" s="16" t="s">
        <v>462</v>
      </c>
      <c r="O131" s="16" t="s">
        <v>463</v>
      </c>
    </row>
    <row r="132" ht="15.75" customHeight="1">
      <c r="A132" s="19">
        <v>45594.0</v>
      </c>
      <c r="B132" s="16" t="s">
        <v>58</v>
      </c>
      <c r="C132" s="16" t="str">
        <f t="shared" si="1"/>
        <v>Guadalajara</v>
      </c>
      <c r="D132" s="16" t="str">
        <f t="shared" si="2"/>
        <v>Guadalajara</v>
      </c>
      <c r="E132" s="16" t="str">
        <f t="shared" si="3"/>
        <v>Guadalajara</v>
      </c>
      <c r="F132" s="16" t="s">
        <v>125</v>
      </c>
      <c r="G132" s="17" t="str">
        <f>IFERROR(__xludf.DUMMYFUNCTION("SPLIT(F132:F1131,""-"") "),"Tel√©fono")</f>
        <v>Tel√©fono</v>
      </c>
      <c r="H132" s="16" t="str">
        <f>IFERROR(__xludf.DUMMYFUNCTION("""COMPUTED_VALUE"""),"Gama media")</f>
        <v>Gama media</v>
      </c>
      <c r="I132" s="16" t="str">
        <f>IFERROR(__xludf.DUMMYFUNCTION("""COMPUTED_VALUE"""),"8GB")</f>
        <v>8GB</v>
      </c>
      <c r="J132" s="18">
        <v>1598.45</v>
      </c>
      <c r="K132" s="16">
        <v>3.0</v>
      </c>
      <c r="L132" s="18">
        <v>4795.35</v>
      </c>
      <c r="M132" s="16" t="s">
        <v>730</v>
      </c>
      <c r="N132" s="16" t="s">
        <v>731</v>
      </c>
      <c r="O132" s="16" t="s">
        <v>732</v>
      </c>
    </row>
    <row r="133" ht="15.75" customHeight="1">
      <c r="A133" s="19">
        <v>45635.0</v>
      </c>
      <c r="B133" s="16" t="s">
        <v>35</v>
      </c>
      <c r="C133" s="16" t="str">
        <f t="shared" si="1"/>
        <v>Medellín</v>
      </c>
      <c r="D133" s="16" t="str">
        <f t="shared" si="2"/>
        <v>Medellín</v>
      </c>
      <c r="E133" s="16" t="str">
        <f t="shared" si="3"/>
        <v>Medellín</v>
      </c>
      <c r="F133" s="16" t="s">
        <v>94</v>
      </c>
      <c r="G133" s="17" t="str">
        <f>IFERROR(__xludf.DUMMYFUNCTION("SPLIT(F133:F1132,""-"") "),"Tablet")</f>
        <v>Tablet</v>
      </c>
      <c r="H133" s="16" t="str">
        <f>IFERROR(__xludf.DUMMYFUNCTION("""COMPUTED_VALUE"""),"Mini")</f>
        <v>Mini</v>
      </c>
      <c r="I133" s="16" t="str">
        <f>IFERROR(__xludf.DUMMYFUNCTION("""COMPUTED_VALUE"""),"8GB")</f>
        <v>8GB</v>
      </c>
      <c r="J133" s="18">
        <v>1744.95</v>
      </c>
      <c r="K133" s="16">
        <v>2.0</v>
      </c>
      <c r="L133" s="18">
        <v>3489.9</v>
      </c>
      <c r="M133" s="16" t="s">
        <v>1718</v>
      </c>
      <c r="N133" s="16" t="s">
        <v>1719</v>
      </c>
      <c r="O133" s="16" t="s">
        <v>1720</v>
      </c>
    </row>
    <row r="134" ht="15.75" customHeight="1">
      <c r="A134" s="19" t="s">
        <v>2389</v>
      </c>
      <c r="B134" s="16" t="s">
        <v>2359</v>
      </c>
      <c r="C134" s="16" t="str">
        <f t="shared" si="1"/>
        <v>Ciudad De M√©Xico</v>
      </c>
      <c r="D134" s="16" t="str">
        <f t="shared" si="2"/>
        <v>Ciudad De M√©Xico</v>
      </c>
      <c r="E134" s="16" t="str">
        <f t="shared" si="3"/>
        <v>Ciudad De MéXico</v>
      </c>
      <c r="F134" s="16" t="s">
        <v>292</v>
      </c>
      <c r="G134" s="17" t="str">
        <f>IFERROR(__xludf.DUMMYFUNCTION("SPLIT(F134:F1133,""-"") "),"Teléfono")</f>
        <v>Teléfono</v>
      </c>
      <c r="H134" s="16" t="str">
        <f>IFERROR(__xludf.DUMMYFUNCTION("""COMPUTED_VALUE"""),"Gama alta")</f>
        <v>Gama alta</v>
      </c>
      <c r="I134" s="16" t="str">
        <f>IFERROR(__xludf.DUMMYFUNCTION("""COMPUTED_VALUE"""),"16GB")</f>
        <v>16GB</v>
      </c>
      <c r="J134" s="18">
        <v>2212.26</v>
      </c>
      <c r="K134" s="16">
        <v>5.0</v>
      </c>
      <c r="L134" s="18">
        <v>11061.3</v>
      </c>
      <c r="M134" s="16" t="s">
        <v>2472</v>
      </c>
      <c r="N134" s="16" t="s">
        <v>2473</v>
      </c>
      <c r="O134" s="16" t="s">
        <v>2474</v>
      </c>
    </row>
    <row r="135" ht="15.75" customHeight="1">
      <c r="A135" s="15">
        <v>45620.0</v>
      </c>
      <c r="B135" s="16" t="s">
        <v>14</v>
      </c>
      <c r="C135" s="16" t="str">
        <f t="shared" si="1"/>
        <v>Bogotá</v>
      </c>
      <c r="D135" s="16" t="str">
        <f t="shared" si="2"/>
        <v>Bogotá</v>
      </c>
      <c r="E135" s="16" t="str">
        <f t="shared" si="3"/>
        <v>Bogotá</v>
      </c>
      <c r="F135" s="16" t="s">
        <v>389</v>
      </c>
      <c r="G135" s="17" t="str">
        <f>IFERROR(__xludf.DUMMYFUNCTION("SPLIT(F135:F1134,""-"") "),"Auriculares")</f>
        <v>Auriculares</v>
      </c>
      <c r="H135" s="16" t="str">
        <f>IFERROR(__xludf.DUMMYFUNCTION("""COMPUTED_VALUE"""),"Cancelación de ruido")</f>
        <v>Cancelación de ruido</v>
      </c>
      <c r="I135" s="16" t="str">
        <f>IFERROR(__xludf.DUMMYFUNCTION("""COMPUTED_VALUE"""),"4GB")</f>
        <v>4GB</v>
      </c>
      <c r="J135" s="18">
        <v>443.81</v>
      </c>
      <c r="K135" s="16">
        <v>1.0</v>
      </c>
      <c r="L135" s="18">
        <v>443.81</v>
      </c>
      <c r="M135" s="16" t="s">
        <v>1435</v>
      </c>
      <c r="N135" s="16" t="s">
        <v>1436</v>
      </c>
      <c r="O135" s="21" t="s">
        <v>1437</v>
      </c>
    </row>
    <row r="136" ht="15.75" customHeight="1">
      <c r="A136" s="19">
        <v>45618.0</v>
      </c>
      <c r="B136" s="16" t="s">
        <v>2359</v>
      </c>
      <c r="C136" s="16" t="str">
        <f t="shared" si="1"/>
        <v>Ciudad De M√©Xico</v>
      </c>
      <c r="D136" s="16" t="str">
        <f t="shared" si="2"/>
        <v>Ciudad De M√©Xico</v>
      </c>
      <c r="E136" s="16" t="str">
        <f t="shared" si="3"/>
        <v>Ciudad De MéXico</v>
      </c>
      <c r="F136" s="16" t="s">
        <v>50</v>
      </c>
      <c r="G136" s="17" t="str">
        <f>IFERROR(__xludf.DUMMYFUNCTION("SPLIT(F136:F1135,""-"") "),"Tablet")</f>
        <v>Tablet</v>
      </c>
      <c r="H136" s="16" t="str">
        <f>IFERROR(__xludf.DUMMYFUNCTION("""COMPUTED_VALUE"""),"Estándar")</f>
        <v>Estándar</v>
      </c>
      <c r="I136" s="16" t="str">
        <f>IFERROR(__xludf.DUMMYFUNCTION("""COMPUTED_VALUE"""),"32GB")</f>
        <v>32GB</v>
      </c>
      <c r="J136" s="18">
        <v>416.62</v>
      </c>
      <c r="K136" s="16">
        <v>5.0</v>
      </c>
      <c r="L136" s="18">
        <v>2083.1</v>
      </c>
      <c r="M136" s="16" t="s">
        <v>1371</v>
      </c>
      <c r="N136" s="16" t="s">
        <v>1372</v>
      </c>
      <c r="O136" s="16" t="s">
        <v>1373</v>
      </c>
    </row>
    <row r="137" ht="15.75" customHeight="1">
      <c r="A137" s="15">
        <v>45605.0</v>
      </c>
      <c r="B137" s="16" t="s">
        <v>2359</v>
      </c>
      <c r="C137" s="16" t="str">
        <f t="shared" si="1"/>
        <v>Ciudad De M√©Xico</v>
      </c>
      <c r="D137" s="16" t="str">
        <f t="shared" si="2"/>
        <v>Ciudad De M√©Xico</v>
      </c>
      <c r="E137" s="16" t="str">
        <f t="shared" si="3"/>
        <v>Ciudad De MéXico</v>
      </c>
      <c r="F137" s="16" t="s">
        <v>282</v>
      </c>
      <c r="G137" s="17" t="str">
        <f>IFERROR(__xludf.DUMMYFUNCTION("SPLIT(F137:F1136,""-"") "),"Tablet")</f>
        <v>Tablet</v>
      </c>
      <c r="H137" s="16" t="str">
        <f>IFERROR(__xludf.DUMMYFUNCTION("""COMPUTED_VALUE"""),"Pro")</f>
        <v>Pro</v>
      </c>
      <c r="I137" s="16" t="str">
        <f>IFERROR(__xludf.DUMMYFUNCTION("""COMPUTED_VALUE"""),"16GB")</f>
        <v>16GB</v>
      </c>
      <c r="J137" s="18">
        <v>271.11</v>
      </c>
      <c r="K137" s="16">
        <v>2.0</v>
      </c>
      <c r="L137" s="18">
        <v>542.22</v>
      </c>
      <c r="M137" s="16" t="s">
        <v>903</v>
      </c>
      <c r="N137" s="16" t="s">
        <v>904</v>
      </c>
      <c r="O137" s="16" t="s">
        <v>905</v>
      </c>
    </row>
    <row r="138" ht="15.75" customHeight="1">
      <c r="A138" s="19" t="s">
        <v>2364</v>
      </c>
      <c r="B138" s="16" t="s">
        <v>58</v>
      </c>
      <c r="C138" s="16" t="str">
        <f t="shared" si="1"/>
        <v>Guadalajara</v>
      </c>
      <c r="D138" s="16" t="str">
        <f t="shared" si="2"/>
        <v>Guadalajara</v>
      </c>
      <c r="E138" s="16" t="str">
        <f t="shared" si="3"/>
        <v>Guadalajara</v>
      </c>
      <c r="F138" s="16" t="s">
        <v>399</v>
      </c>
      <c r="G138" s="17" t="str">
        <f>IFERROR(__xludf.DUMMYFUNCTION("SPLIT(F138:F1137,""-"") "),"Laptop")</f>
        <v>Laptop</v>
      </c>
      <c r="H138" s="16" t="str">
        <f>IFERROR(__xludf.DUMMYFUNCTION("""COMPUTED_VALUE"""),"Gaming")</f>
        <v>Gaming</v>
      </c>
      <c r="I138" s="16" t="str">
        <f>IFERROR(__xludf.DUMMYFUNCTION("""COMPUTED_VALUE"""),"4GB")</f>
        <v>4GB</v>
      </c>
      <c r="J138" s="18">
        <v>797.54</v>
      </c>
      <c r="K138" s="16">
        <v>4.0</v>
      </c>
      <c r="L138" s="18">
        <v>3190.16</v>
      </c>
      <c r="M138" s="16" t="s">
        <v>2475</v>
      </c>
      <c r="N138" s="16" t="s">
        <v>1560</v>
      </c>
      <c r="O138" s="16" t="s">
        <v>2476</v>
      </c>
    </row>
    <row r="139" ht="15.75" customHeight="1">
      <c r="A139" s="19">
        <v>45485.0</v>
      </c>
      <c r="B139" s="16" t="s">
        <v>75</v>
      </c>
      <c r="C139" s="16" t="str">
        <f t="shared" si="1"/>
        <v>Cali</v>
      </c>
      <c r="D139" s="16" t="str">
        <f t="shared" si="2"/>
        <v>Cali</v>
      </c>
      <c r="E139" s="16" t="str">
        <f t="shared" si="3"/>
        <v>Cali</v>
      </c>
      <c r="F139" s="16" t="s">
        <v>315</v>
      </c>
      <c r="G139" s="17" t="str">
        <f>IFERROR(__xludf.DUMMYFUNCTION("SPLIT(F139:F1138,""-"") "),"Teléfono")</f>
        <v>Teléfono</v>
      </c>
      <c r="H139" s="16" t="str">
        <f>IFERROR(__xludf.DUMMYFUNCTION("""COMPUTED_VALUE"""),"Gama baja")</f>
        <v>Gama baja</v>
      </c>
      <c r="I139" s="16" t="str">
        <f>IFERROR(__xludf.DUMMYFUNCTION("""COMPUTED_VALUE"""),"8GB")</f>
        <v>8GB</v>
      </c>
      <c r="J139" s="18">
        <v>157.83</v>
      </c>
      <c r="K139" s="16">
        <v>5.0</v>
      </c>
      <c r="L139" s="18">
        <v>789.15</v>
      </c>
      <c r="M139" s="16" t="s">
        <v>2477</v>
      </c>
      <c r="N139" s="16" t="s">
        <v>2478</v>
      </c>
      <c r="O139" s="21" t="s">
        <v>2479</v>
      </c>
    </row>
    <row r="140" ht="15.75" customHeight="1">
      <c r="A140" s="19">
        <v>45644.0</v>
      </c>
      <c r="B140" s="16" t="s">
        <v>35</v>
      </c>
      <c r="C140" s="16" t="str">
        <f t="shared" si="1"/>
        <v>Medellín</v>
      </c>
      <c r="D140" s="16" t="str">
        <f t="shared" si="2"/>
        <v>Medellín</v>
      </c>
      <c r="E140" s="16" t="str">
        <f t="shared" si="3"/>
        <v>Medellín</v>
      </c>
      <c r="F140" s="16" t="s">
        <v>225</v>
      </c>
      <c r="G140" s="17" t="str">
        <f>IFERROR(__xludf.DUMMYFUNCTION("SPLIT(F140:F1139,""-"") "),"Laptop")</f>
        <v>Laptop</v>
      </c>
      <c r="H140" s="16" t="str">
        <f>IFERROR(__xludf.DUMMYFUNCTION("""COMPUTED_VALUE"""),"Gaming")</f>
        <v>Gaming</v>
      </c>
      <c r="I140" s="16" t="str">
        <f>IFERROR(__xludf.DUMMYFUNCTION("""COMPUTED_VALUE"""),"16GB")</f>
        <v>16GB</v>
      </c>
      <c r="J140" s="18">
        <v>1096.28</v>
      </c>
      <c r="K140" s="16">
        <v>3.0</v>
      </c>
      <c r="L140" s="18">
        <v>3288.84</v>
      </c>
      <c r="M140" s="16" t="s">
        <v>1939</v>
      </c>
      <c r="N140" s="16" t="s">
        <v>1940</v>
      </c>
      <c r="O140" s="16" t="s">
        <v>1941</v>
      </c>
    </row>
    <row r="141" ht="15.75" customHeight="1">
      <c r="A141" s="19">
        <v>45569.0</v>
      </c>
      <c r="B141" s="16" t="s">
        <v>2359</v>
      </c>
      <c r="C141" s="16" t="str">
        <f t="shared" si="1"/>
        <v>Ciudad De M√©Xico</v>
      </c>
      <c r="D141" s="16" t="str">
        <f t="shared" si="2"/>
        <v>Ciudad De M√©Xico</v>
      </c>
      <c r="E141" s="16" t="str">
        <f t="shared" si="3"/>
        <v>Ciudad De MéXico</v>
      </c>
      <c r="F141" s="16" t="s">
        <v>40</v>
      </c>
      <c r="G141" s="17" t="str">
        <f>IFERROR(__xludf.DUMMYFUNCTION("SPLIT(F141:F1140,""-"") "),"Auriculares")</f>
        <v>Auriculares</v>
      </c>
      <c r="H141" s="16" t="str">
        <f>IFERROR(__xludf.DUMMYFUNCTION("""COMPUTED_VALUE"""),"Con cable")</f>
        <v>Con cable</v>
      </c>
      <c r="I141" s="16" t="str">
        <f>IFERROR(__xludf.DUMMYFUNCTION("""COMPUTED_VALUE"""),"8GB")</f>
        <v>8GB</v>
      </c>
      <c r="J141" s="18">
        <v>1086.48</v>
      </c>
      <c r="K141" s="16">
        <v>1.0</v>
      </c>
      <c r="L141" s="18">
        <v>1086.48</v>
      </c>
      <c r="M141" s="16" t="s">
        <v>41</v>
      </c>
      <c r="N141" s="16" t="s">
        <v>42</v>
      </c>
      <c r="O141" s="16" t="s">
        <v>43</v>
      </c>
    </row>
    <row r="142" ht="15.75" customHeight="1">
      <c r="A142" s="19" t="s">
        <v>2452</v>
      </c>
      <c r="B142" s="16" t="s">
        <v>9</v>
      </c>
      <c r="C142" s="16" t="str">
        <f t="shared" si="1"/>
        <v>Monterrey</v>
      </c>
      <c r="D142" s="16" t="str">
        <f t="shared" si="2"/>
        <v>Monterrey</v>
      </c>
      <c r="E142" s="16" t="str">
        <f t="shared" si="3"/>
        <v>Monterrey</v>
      </c>
      <c r="F142" s="16" t="s">
        <v>272</v>
      </c>
      <c r="G142" s="17" t="str">
        <f>IFERROR(__xludf.DUMMYFUNCTION("SPLIT(F142:F1141,""-"") "),"Teléfono")</f>
        <v>Teléfono</v>
      </c>
      <c r="H142" s="16" t="str">
        <f>IFERROR(__xludf.DUMMYFUNCTION("""COMPUTED_VALUE"""),"Gama baja")</f>
        <v>Gama baja</v>
      </c>
      <c r="I142" s="16" t="str">
        <f>IFERROR(__xludf.DUMMYFUNCTION("""COMPUTED_VALUE"""),"32GB")</f>
        <v>32GB</v>
      </c>
      <c r="J142" s="18">
        <v>2361.22</v>
      </c>
      <c r="K142" s="16">
        <v>2.0</v>
      </c>
      <c r="L142" s="18">
        <v>4722.44</v>
      </c>
      <c r="M142" s="16" t="s">
        <v>2480</v>
      </c>
      <c r="N142" s="16" t="s">
        <v>2481</v>
      </c>
      <c r="O142" s="16" t="s">
        <v>2482</v>
      </c>
    </row>
    <row r="143" ht="15.75" customHeight="1">
      <c r="A143" s="19">
        <v>45302.0</v>
      </c>
      <c r="B143" s="16" t="s">
        <v>2359</v>
      </c>
      <c r="C143" s="16" t="str">
        <f t="shared" si="1"/>
        <v>Ciudad De M√©Xico</v>
      </c>
      <c r="D143" s="16" t="str">
        <f t="shared" si="2"/>
        <v>Ciudad De M√©Xico</v>
      </c>
      <c r="E143" s="16" t="str">
        <f t="shared" si="3"/>
        <v>Ciudad De MéXico</v>
      </c>
      <c r="F143" s="16" t="s">
        <v>54</v>
      </c>
      <c r="G143" s="17" t="str">
        <f>IFERROR(__xludf.DUMMYFUNCTION("SPLIT(F143:F1142,""-"") "),"Laptop")</f>
        <v>Laptop</v>
      </c>
      <c r="H143" s="16" t="str">
        <f>IFERROR(__xludf.DUMMYFUNCTION("""COMPUTED_VALUE"""),"Oficina")</f>
        <v>Oficina</v>
      </c>
      <c r="I143" s="16" t="str">
        <f>IFERROR(__xludf.DUMMYFUNCTION("""COMPUTED_VALUE"""),"8GB")</f>
        <v>8GB</v>
      </c>
      <c r="J143" s="18">
        <v>2378.7</v>
      </c>
      <c r="K143" s="16">
        <v>1.0</v>
      </c>
      <c r="L143" s="18">
        <v>2378.7</v>
      </c>
      <c r="M143" s="16" t="s">
        <v>2483</v>
      </c>
      <c r="N143" s="16" t="s">
        <v>2484</v>
      </c>
      <c r="O143" s="16" t="s">
        <v>2485</v>
      </c>
    </row>
    <row r="144" ht="15.75" customHeight="1">
      <c r="A144" s="15">
        <v>45648.0</v>
      </c>
      <c r="B144" s="16" t="s">
        <v>75</v>
      </c>
      <c r="C144" s="16" t="str">
        <f t="shared" si="1"/>
        <v>Cali</v>
      </c>
      <c r="D144" s="16" t="str">
        <f t="shared" si="2"/>
        <v>Cali</v>
      </c>
      <c r="E144" s="16" t="str">
        <f t="shared" si="3"/>
        <v>Cali</v>
      </c>
      <c r="F144" s="16" t="s">
        <v>23</v>
      </c>
      <c r="G144" s="17" t="str">
        <f>IFERROR(__xludf.DUMMYFUNCTION("SPLIT(F144:F1143,""-"") "),"Tablet")</f>
        <v>Tablet</v>
      </c>
      <c r="H144" s="16" t="str">
        <f>IFERROR(__xludf.DUMMYFUNCTION("""COMPUTED_VALUE"""),"Estándar")</f>
        <v>Estándar</v>
      </c>
      <c r="I144" s="16" t="str">
        <f>IFERROR(__xludf.DUMMYFUNCTION("""COMPUTED_VALUE"""),"16GB")</f>
        <v>16GB</v>
      </c>
      <c r="J144" s="18">
        <v>2186.25</v>
      </c>
      <c r="K144" s="16">
        <v>5.0</v>
      </c>
      <c r="L144" s="18">
        <v>10931.25</v>
      </c>
      <c r="M144" s="16" t="s">
        <v>2069</v>
      </c>
      <c r="N144" s="16" t="s">
        <v>2070</v>
      </c>
      <c r="O144" s="16" t="s">
        <v>2071</v>
      </c>
    </row>
    <row r="145" ht="15.75" customHeight="1">
      <c r="A145" s="19">
        <v>45453.0</v>
      </c>
      <c r="B145" s="16" t="s">
        <v>2359</v>
      </c>
      <c r="C145" s="16" t="str">
        <f t="shared" si="1"/>
        <v>Ciudad De M√©Xico</v>
      </c>
      <c r="D145" s="16" t="str">
        <f t="shared" si="2"/>
        <v>Ciudad De M√©Xico</v>
      </c>
      <c r="E145" s="16" t="str">
        <f t="shared" si="3"/>
        <v>Ciudad De MéXico</v>
      </c>
      <c r="F145" s="16" t="s">
        <v>23</v>
      </c>
      <c r="G145" s="17" t="str">
        <f>IFERROR(__xludf.DUMMYFUNCTION("SPLIT(F145:F1144,""-"") "),"Tablet")</f>
        <v>Tablet</v>
      </c>
      <c r="H145" s="16" t="str">
        <f>IFERROR(__xludf.DUMMYFUNCTION("""COMPUTED_VALUE"""),"Estándar")</f>
        <v>Estándar</v>
      </c>
      <c r="I145" s="16" t="str">
        <f>IFERROR(__xludf.DUMMYFUNCTION("""COMPUTED_VALUE"""),"16GB")</f>
        <v>16GB</v>
      </c>
      <c r="J145" s="18">
        <v>156.04</v>
      </c>
      <c r="K145" s="16">
        <v>3.0</v>
      </c>
      <c r="L145" s="18">
        <v>468.12</v>
      </c>
      <c r="M145" s="16" t="s">
        <v>2486</v>
      </c>
      <c r="N145" s="16" t="s">
        <v>2487</v>
      </c>
      <c r="O145" s="16" t="s">
        <v>2488</v>
      </c>
    </row>
    <row r="146" ht="15.75" customHeight="1">
      <c r="A146" s="15">
        <v>45621.0</v>
      </c>
      <c r="B146" s="16" t="s">
        <v>14</v>
      </c>
      <c r="C146" s="16" t="str">
        <f t="shared" si="1"/>
        <v>Bogotá</v>
      </c>
      <c r="D146" s="16" t="str">
        <f t="shared" si="2"/>
        <v>Bogotá</v>
      </c>
      <c r="E146" s="16" t="str">
        <f t="shared" si="3"/>
        <v>Bogotá</v>
      </c>
      <c r="F146" s="16" t="s">
        <v>125</v>
      </c>
      <c r="G146" s="17" t="str">
        <f>IFERROR(__xludf.DUMMYFUNCTION("SPLIT(F146:F1145,""-"") "),"Tel√©fono")</f>
        <v>Tel√©fono</v>
      </c>
      <c r="H146" s="16" t="str">
        <f>IFERROR(__xludf.DUMMYFUNCTION("""COMPUTED_VALUE"""),"Gama media")</f>
        <v>Gama media</v>
      </c>
      <c r="I146" s="16" t="str">
        <f>IFERROR(__xludf.DUMMYFUNCTION("""COMPUTED_VALUE"""),"8GB")</f>
        <v>8GB</v>
      </c>
      <c r="J146" s="18">
        <v>1847.8</v>
      </c>
      <c r="K146" s="16">
        <v>3.0</v>
      </c>
      <c r="L146" s="18">
        <v>5543.4</v>
      </c>
      <c r="M146" s="16" t="s">
        <v>1468</v>
      </c>
      <c r="N146" s="16" t="s">
        <v>1469</v>
      </c>
      <c r="O146" s="16" t="s">
        <v>1470</v>
      </c>
    </row>
    <row r="147" ht="15.75" customHeight="1">
      <c r="A147" s="15">
        <v>45597.0</v>
      </c>
      <c r="B147" s="16" t="s">
        <v>58</v>
      </c>
      <c r="C147" s="16" t="str">
        <f t="shared" si="1"/>
        <v>Guadalajara</v>
      </c>
      <c r="D147" s="16" t="str">
        <f t="shared" si="2"/>
        <v>Guadalajara</v>
      </c>
      <c r="E147" s="16" t="str">
        <f t="shared" si="3"/>
        <v>Guadalajara</v>
      </c>
      <c r="F147" s="16" t="s">
        <v>121</v>
      </c>
      <c r="G147" s="17" t="str">
        <f>IFERROR(__xludf.DUMMYFUNCTION("SPLIT(F147:F1146,""-"") "),"Teléfono")</f>
        <v>Teléfono</v>
      </c>
      <c r="H147" s="16" t="str">
        <f>IFERROR(__xludf.DUMMYFUNCTION("""COMPUTED_VALUE"""),"Gama alta")</f>
        <v>Gama alta</v>
      </c>
      <c r="I147" s="16" t="str">
        <f>IFERROR(__xludf.DUMMYFUNCTION("""COMPUTED_VALUE"""),"8GB")</f>
        <v>8GB</v>
      </c>
      <c r="J147" s="18">
        <v>1912.53</v>
      </c>
      <c r="K147" s="16">
        <v>1.0</v>
      </c>
      <c r="L147" s="18">
        <v>1912.53</v>
      </c>
      <c r="M147" s="16" t="s">
        <v>806</v>
      </c>
      <c r="N147" s="16" t="s">
        <v>807</v>
      </c>
      <c r="O147" s="16" t="s">
        <v>808</v>
      </c>
    </row>
    <row r="148" ht="15.75" customHeight="1">
      <c r="A148" s="15">
        <v>45591.0</v>
      </c>
      <c r="B148" s="16" t="s">
        <v>14</v>
      </c>
      <c r="C148" s="16" t="str">
        <f t="shared" si="1"/>
        <v>Bogotá</v>
      </c>
      <c r="D148" s="16" t="str">
        <f t="shared" si="2"/>
        <v>Bogotá</v>
      </c>
      <c r="E148" s="16" t="str">
        <f t="shared" si="3"/>
        <v>Bogotá</v>
      </c>
      <c r="F148" s="16" t="s">
        <v>641</v>
      </c>
      <c r="G148" s="17" t="str">
        <f>IFERROR(__xludf.DUMMYFUNCTION("SPLIT(F148:F1147,""-"") "),"Teléfono")</f>
        <v>Teléfono</v>
      </c>
      <c r="H148" s="16" t="str">
        <f>IFERROR(__xludf.DUMMYFUNCTION("""COMPUTED_VALUE"""),"Gama baja")</f>
        <v>Gama baja</v>
      </c>
      <c r="I148" s="16" t="str">
        <f>IFERROR(__xludf.DUMMYFUNCTION("""COMPUTED_VALUE"""),"32GB ")</f>
        <v>32GB </v>
      </c>
      <c r="J148" s="18">
        <v>919.0</v>
      </c>
      <c r="K148" s="16">
        <v>5.0</v>
      </c>
      <c r="L148" s="18">
        <v>4595.0</v>
      </c>
      <c r="M148" s="16" t="s">
        <v>642</v>
      </c>
      <c r="N148" s="16" t="s">
        <v>643</v>
      </c>
      <c r="O148" s="16" t="s">
        <v>644</v>
      </c>
    </row>
    <row r="149" ht="15.75" customHeight="1">
      <c r="A149" s="15">
        <v>45576.0</v>
      </c>
      <c r="B149" s="16" t="s">
        <v>35</v>
      </c>
      <c r="C149" s="16" t="str">
        <f t="shared" si="1"/>
        <v>Medellín</v>
      </c>
      <c r="D149" s="16" t="str">
        <f t="shared" si="2"/>
        <v>Medellín</v>
      </c>
      <c r="E149" s="16" t="str">
        <f t="shared" si="3"/>
        <v>Medellín</v>
      </c>
      <c r="F149" s="16" t="s">
        <v>71</v>
      </c>
      <c r="G149" s="17" t="str">
        <f>IFERROR(__xludf.DUMMYFUNCTION("SPLIT(F149:F1148,""-"") "),"Auriculares")</f>
        <v>Auriculares</v>
      </c>
      <c r="H149" s="16" t="str">
        <f>IFERROR(__xludf.DUMMYFUNCTION("""COMPUTED_VALUE"""),"Bluetooth")</f>
        <v>Bluetooth</v>
      </c>
      <c r="I149" s="16" t="str">
        <f>IFERROR(__xludf.DUMMYFUNCTION("""COMPUTED_VALUE"""),"16GB")</f>
        <v>16GB</v>
      </c>
      <c r="J149" s="18">
        <v>2208.12</v>
      </c>
      <c r="K149" s="16">
        <v>2.0</v>
      </c>
      <c r="L149" s="18">
        <v>4416.24</v>
      </c>
      <c r="M149" s="16" t="s">
        <v>104</v>
      </c>
      <c r="N149" s="16" t="s">
        <v>105</v>
      </c>
      <c r="O149" s="16" t="s">
        <v>106</v>
      </c>
    </row>
    <row r="150" ht="15.75" customHeight="1">
      <c r="A150" s="15">
        <v>45584.0</v>
      </c>
      <c r="B150" s="16" t="s">
        <v>75</v>
      </c>
      <c r="C150" s="16" t="str">
        <f t="shared" si="1"/>
        <v>Cali</v>
      </c>
      <c r="D150" s="16" t="str">
        <f t="shared" si="2"/>
        <v>Cali</v>
      </c>
      <c r="E150" s="16" t="str">
        <f t="shared" si="3"/>
        <v>Cali</v>
      </c>
      <c r="F150" s="16" t="s">
        <v>50</v>
      </c>
      <c r="G150" s="17" t="str">
        <f>IFERROR(__xludf.DUMMYFUNCTION("SPLIT(F150:F1149,""-"") "),"Tablet")</f>
        <v>Tablet</v>
      </c>
      <c r="H150" s="16" t="str">
        <f>IFERROR(__xludf.DUMMYFUNCTION("""COMPUTED_VALUE"""),"Estándar")</f>
        <v>Estándar</v>
      </c>
      <c r="I150" s="16" t="str">
        <f>IFERROR(__xludf.DUMMYFUNCTION("""COMPUTED_VALUE"""),"32GB")</f>
        <v>32GB</v>
      </c>
      <c r="J150" s="18">
        <v>902.5</v>
      </c>
      <c r="K150" s="16">
        <v>3.0</v>
      </c>
      <c r="L150" s="18">
        <v>2707.5</v>
      </c>
      <c r="M150" s="16" t="s">
        <v>424</v>
      </c>
      <c r="N150" s="16" t="s">
        <v>425</v>
      </c>
      <c r="O150" s="16" t="s">
        <v>426</v>
      </c>
    </row>
    <row r="151" ht="15.75" customHeight="1">
      <c r="A151" s="19" t="s">
        <v>2421</v>
      </c>
      <c r="B151" s="16" t="s">
        <v>75</v>
      </c>
      <c r="C151" s="16" t="str">
        <f t="shared" si="1"/>
        <v>Cali</v>
      </c>
      <c r="D151" s="16" t="str">
        <f t="shared" si="2"/>
        <v>Cali</v>
      </c>
      <c r="E151" s="16" t="str">
        <f t="shared" si="3"/>
        <v>Cali</v>
      </c>
      <c r="F151" s="16" t="s">
        <v>666</v>
      </c>
      <c r="G151" s="17" t="str">
        <f>IFERROR(__xludf.DUMMYFUNCTION("SPLIT(F151:F1150,""-"") "),"Auriculares")</f>
        <v>Auriculares</v>
      </c>
      <c r="H151" s="16" t="str">
        <f>IFERROR(__xludf.DUMMYFUNCTION("""COMPUTED_VALUE"""),"Cancelación de ruido")</f>
        <v>Cancelación de ruido</v>
      </c>
      <c r="I151" s="16" t="str">
        <f>IFERROR(__xludf.DUMMYFUNCTION("""COMPUTED_VALUE"""),"32GB")</f>
        <v>32GB</v>
      </c>
      <c r="J151" s="18">
        <v>1585.53</v>
      </c>
      <c r="K151" s="16">
        <v>3.0</v>
      </c>
      <c r="L151" s="18">
        <v>4756.59</v>
      </c>
      <c r="M151" s="16" t="s">
        <v>2489</v>
      </c>
      <c r="N151" s="16" t="s">
        <v>2490</v>
      </c>
      <c r="O151" s="16" t="s">
        <v>2491</v>
      </c>
    </row>
    <row r="152" ht="15.75" customHeight="1">
      <c r="A152" s="15">
        <v>45629.0</v>
      </c>
      <c r="B152" s="16" t="s">
        <v>116</v>
      </c>
      <c r="C152" s="16" t="str">
        <f t="shared" si="1"/>
        <v>Guadalajara</v>
      </c>
      <c r="D152" s="16" t="str">
        <f t="shared" si="2"/>
        <v>Guadalajara</v>
      </c>
      <c r="E152" s="16" t="str">
        <f t="shared" si="3"/>
        <v>Guadalajara</v>
      </c>
      <c r="F152" s="16" t="s">
        <v>218</v>
      </c>
      <c r="G152" s="17" t="str">
        <f>IFERROR(__xludf.DUMMYFUNCTION("SPLIT(F152:F1151,""-"") "),"Teléfono")</f>
        <v>Teléfono</v>
      </c>
      <c r="H152" s="16" t="str">
        <f>IFERROR(__xludf.DUMMYFUNCTION("""COMPUTED_VALUE"""),"Gama media")</f>
        <v>Gama media</v>
      </c>
      <c r="I152" s="16" t="str">
        <f>IFERROR(__xludf.DUMMYFUNCTION("""COMPUTED_VALUE"""),"4GB")</f>
        <v>4GB</v>
      </c>
      <c r="J152" s="18">
        <v>90.89</v>
      </c>
      <c r="K152" s="16">
        <v>1.0</v>
      </c>
      <c r="L152" s="18">
        <v>90.89</v>
      </c>
      <c r="M152" s="16" t="s">
        <v>1655</v>
      </c>
      <c r="N152" s="16" t="s">
        <v>1656</v>
      </c>
      <c r="O152" s="16" t="s">
        <v>1657</v>
      </c>
    </row>
    <row r="153" ht="15.75" customHeight="1">
      <c r="A153" s="19" t="s">
        <v>2492</v>
      </c>
      <c r="B153" s="16" t="s">
        <v>75</v>
      </c>
      <c r="C153" s="16" t="str">
        <f t="shared" si="1"/>
        <v>Cali</v>
      </c>
      <c r="D153" s="16" t="str">
        <f t="shared" si="2"/>
        <v>Cali</v>
      </c>
      <c r="E153" s="16" t="str">
        <f t="shared" si="3"/>
        <v>Cali</v>
      </c>
      <c r="F153" s="16" t="s">
        <v>2493</v>
      </c>
      <c r="G153" s="17" t="str">
        <f>IFERROR(__xludf.DUMMYFUNCTION("SPLIT(F153:F1152,""-"") "),"Tablet")</f>
        <v>Tablet</v>
      </c>
      <c r="H153" s="16" t="str">
        <f>IFERROR(__xludf.DUMMYFUNCTION("""COMPUTED_VALUE"""),"Mini")</f>
        <v>Mini</v>
      </c>
      <c r="I153" s="16" t="str">
        <f>IFERROR(__xludf.DUMMYFUNCTION("""COMPUTED_VALUE"""),"32GB ")</f>
        <v>32GB </v>
      </c>
      <c r="J153" s="18">
        <v>88.54</v>
      </c>
      <c r="K153" s="16">
        <v>5.0</v>
      </c>
      <c r="L153" s="18">
        <v>442.7</v>
      </c>
      <c r="M153" s="16" t="s">
        <v>2494</v>
      </c>
      <c r="N153" s="16" t="s">
        <v>2495</v>
      </c>
      <c r="O153" s="16" t="s">
        <v>2496</v>
      </c>
    </row>
    <row r="154" ht="15.75" customHeight="1">
      <c r="A154" s="19" t="s">
        <v>2351</v>
      </c>
      <c r="B154" s="16" t="s">
        <v>75</v>
      </c>
      <c r="C154" s="16" t="str">
        <f t="shared" si="1"/>
        <v>Cali</v>
      </c>
      <c r="D154" s="16" t="str">
        <f t="shared" si="2"/>
        <v>Cali</v>
      </c>
      <c r="E154" s="16" t="str">
        <f t="shared" si="3"/>
        <v>Cali</v>
      </c>
      <c r="F154" s="16" t="s">
        <v>31</v>
      </c>
      <c r="G154" s="17" t="str">
        <f>IFERROR(__xludf.DUMMYFUNCTION("SPLIT(F154:F1153,""-"") "),"Teléfono")</f>
        <v>Teléfono</v>
      </c>
      <c r="H154" s="16" t="str">
        <f>IFERROR(__xludf.DUMMYFUNCTION("""COMPUTED_VALUE"""),"Gama alta")</f>
        <v>Gama alta</v>
      </c>
      <c r="I154" s="16" t="str">
        <f>IFERROR(__xludf.DUMMYFUNCTION("""COMPUTED_VALUE"""),"32GB")</f>
        <v>32GB</v>
      </c>
      <c r="J154" s="18">
        <v>230.59</v>
      </c>
      <c r="K154" s="16">
        <v>1.0</v>
      </c>
      <c r="L154" s="18">
        <v>230.59</v>
      </c>
      <c r="M154" s="16" t="s">
        <v>2497</v>
      </c>
      <c r="N154" s="16" t="s">
        <v>2498</v>
      </c>
      <c r="O154" s="16" t="s">
        <v>2499</v>
      </c>
    </row>
    <row r="155" ht="15.75" customHeight="1">
      <c r="A155" s="15">
        <v>45606.0</v>
      </c>
      <c r="B155" s="16" t="s">
        <v>58</v>
      </c>
      <c r="C155" s="16" t="str">
        <f t="shared" si="1"/>
        <v>Guadalajara</v>
      </c>
      <c r="D155" s="16" t="str">
        <f t="shared" si="2"/>
        <v>Guadalajara</v>
      </c>
      <c r="E155" s="16" t="str">
        <f t="shared" si="3"/>
        <v>Guadalajara</v>
      </c>
      <c r="F155" s="16" t="s">
        <v>373</v>
      </c>
      <c r="G155" s="17" t="str">
        <f>IFERROR(__xludf.DUMMYFUNCTION("SPLIT(F155:F1154,""-"") "),"Teléfono")</f>
        <v>Teléfono</v>
      </c>
      <c r="H155" s="16" t="str">
        <f>IFERROR(__xludf.DUMMYFUNCTION("""COMPUTED_VALUE"""),"Gama media")</f>
        <v>Gama media</v>
      </c>
      <c r="I155" s="16" t="str">
        <f>IFERROR(__xludf.DUMMYFUNCTION("""COMPUTED_VALUE"""),"16GB")</f>
        <v>16GB</v>
      </c>
      <c r="J155" s="18">
        <v>2356.5</v>
      </c>
      <c r="K155" s="16">
        <v>5.0</v>
      </c>
      <c r="L155" s="18">
        <v>11782.5</v>
      </c>
      <c r="M155" s="16" t="s">
        <v>921</v>
      </c>
      <c r="N155" s="16" t="s">
        <v>922</v>
      </c>
      <c r="O155" s="16" t="s">
        <v>923</v>
      </c>
    </row>
    <row r="156" ht="15.75" customHeight="1">
      <c r="A156" s="15">
        <v>45644.0</v>
      </c>
      <c r="B156" s="16" t="s">
        <v>9</v>
      </c>
      <c r="C156" s="16" t="str">
        <f t="shared" si="1"/>
        <v>Monterrey</v>
      </c>
      <c r="D156" s="16" t="str">
        <f t="shared" si="2"/>
        <v>Monterrey</v>
      </c>
      <c r="E156" s="16" t="str">
        <f t="shared" si="3"/>
        <v>Monterrey</v>
      </c>
      <c r="F156" s="16" t="s">
        <v>190</v>
      </c>
      <c r="G156" s="17" t="str">
        <f>IFERROR(__xludf.DUMMYFUNCTION("SPLIT(F156:F1155,""-"") "),"Laptop")</f>
        <v>Laptop</v>
      </c>
      <c r="H156" s="16" t="str">
        <f>IFERROR(__xludf.DUMMYFUNCTION("""COMPUTED_VALUE"""),"Ultraliviana")</f>
        <v>Ultraliviana</v>
      </c>
      <c r="I156" s="16" t="str">
        <f>IFERROR(__xludf.DUMMYFUNCTION("""COMPUTED_VALUE"""),"16GB")</f>
        <v>16GB</v>
      </c>
      <c r="J156" s="18">
        <v>2030.62</v>
      </c>
      <c r="K156" s="16">
        <v>2.0</v>
      </c>
      <c r="L156" s="18">
        <v>4061.24</v>
      </c>
      <c r="M156" s="16" t="s">
        <v>1942</v>
      </c>
      <c r="N156" s="16" t="s">
        <v>1943</v>
      </c>
      <c r="O156" s="16" t="s">
        <v>1944</v>
      </c>
    </row>
    <row r="157" ht="15.75" customHeight="1">
      <c r="A157" s="19">
        <v>45392.0</v>
      </c>
      <c r="B157" s="16" t="s">
        <v>14</v>
      </c>
      <c r="C157" s="16" t="str">
        <f t="shared" si="1"/>
        <v>Bogotá</v>
      </c>
      <c r="D157" s="16" t="str">
        <f t="shared" si="2"/>
        <v>Bogotá</v>
      </c>
      <c r="E157" s="16" t="str">
        <f t="shared" si="3"/>
        <v>Bogotá</v>
      </c>
      <c r="F157" s="16" t="s">
        <v>90</v>
      </c>
      <c r="G157" s="17" t="str">
        <f>IFERROR(__xludf.DUMMYFUNCTION("SPLIT(F157:F1156,""-"") "),"Laptop")</f>
        <v>Laptop</v>
      </c>
      <c r="H157" s="16" t="str">
        <f>IFERROR(__xludf.DUMMYFUNCTION("""COMPUTED_VALUE"""),"Gaming")</f>
        <v>Gaming</v>
      </c>
      <c r="I157" s="16" t="str">
        <f>IFERROR(__xludf.DUMMYFUNCTION("""COMPUTED_VALUE"""),"32GB")</f>
        <v>32GB</v>
      </c>
      <c r="J157" s="18">
        <v>539.2</v>
      </c>
      <c r="K157" s="16">
        <v>1.0</v>
      </c>
      <c r="L157" s="18">
        <v>539.2</v>
      </c>
      <c r="M157" s="16" t="s">
        <v>2500</v>
      </c>
      <c r="N157" s="16" t="s">
        <v>2501</v>
      </c>
      <c r="O157" s="16" t="s">
        <v>2502</v>
      </c>
    </row>
    <row r="158" ht="15.75" customHeight="1">
      <c r="A158" s="15">
        <v>45602.0</v>
      </c>
      <c r="B158" s="16" t="s">
        <v>14</v>
      </c>
      <c r="C158" s="16" t="str">
        <f t="shared" si="1"/>
        <v>Bogotá</v>
      </c>
      <c r="D158" s="16" t="str">
        <f t="shared" si="2"/>
        <v>Bogotá</v>
      </c>
      <c r="E158" s="16" t="str">
        <f t="shared" si="3"/>
        <v>Bogotá</v>
      </c>
      <c r="F158" s="16" t="s">
        <v>229</v>
      </c>
      <c r="G158" s="17" t="str">
        <f>IFERROR(__xludf.DUMMYFUNCTION("SPLIT(F158:F1157,""-"") "),"Laptop")</f>
        <v>Laptop</v>
      </c>
      <c r="H158" s="16" t="str">
        <f>IFERROR(__xludf.DUMMYFUNCTION("""COMPUTED_VALUE"""),"Oficina")</f>
        <v>Oficina</v>
      </c>
      <c r="I158" s="16" t="str">
        <f>IFERROR(__xludf.DUMMYFUNCTION("""COMPUTED_VALUE"""),"4GB")</f>
        <v>4GB</v>
      </c>
      <c r="J158" s="18">
        <v>1945.67</v>
      </c>
      <c r="K158" s="16">
        <v>4.0</v>
      </c>
      <c r="L158" s="18">
        <v>7782.68</v>
      </c>
      <c r="M158" s="16" t="s">
        <v>861</v>
      </c>
      <c r="N158" s="16" t="s">
        <v>862</v>
      </c>
      <c r="O158" s="16" t="s">
        <v>863</v>
      </c>
    </row>
    <row r="159" ht="15.75" customHeight="1">
      <c r="A159" s="19">
        <v>45604.0</v>
      </c>
      <c r="B159" s="16" t="s">
        <v>35</v>
      </c>
      <c r="C159" s="16" t="str">
        <f t="shared" si="1"/>
        <v>Medellín</v>
      </c>
      <c r="D159" s="16" t="str">
        <f t="shared" si="2"/>
        <v>Medellín</v>
      </c>
      <c r="E159" s="16" t="str">
        <f t="shared" si="3"/>
        <v>Medellín</v>
      </c>
      <c r="F159" s="16" t="s">
        <v>54</v>
      </c>
      <c r="G159" s="17" t="str">
        <f>IFERROR(__xludf.DUMMYFUNCTION("SPLIT(F159:F1158,""-"") "),"Laptop")</f>
        <v>Laptop</v>
      </c>
      <c r="H159" s="16" t="str">
        <f>IFERROR(__xludf.DUMMYFUNCTION("""COMPUTED_VALUE"""),"Oficina")</f>
        <v>Oficina</v>
      </c>
      <c r="I159" s="16" t="str">
        <f>IFERROR(__xludf.DUMMYFUNCTION("""COMPUTED_VALUE"""),"8GB")</f>
        <v>8GB</v>
      </c>
      <c r="J159" s="18">
        <v>1656.59</v>
      </c>
      <c r="K159" s="16">
        <v>1.0</v>
      </c>
      <c r="L159" s="18">
        <v>1656.59</v>
      </c>
      <c r="M159" s="16" t="s">
        <v>891</v>
      </c>
      <c r="N159" s="16" t="s">
        <v>892</v>
      </c>
      <c r="O159" s="16" t="s">
        <v>893</v>
      </c>
    </row>
    <row r="160" ht="15.75" customHeight="1">
      <c r="A160" s="15">
        <v>45606.0</v>
      </c>
      <c r="B160" s="16" t="s">
        <v>9</v>
      </c>
      <c r="C160" s="16" t="str">
        <f t="shared" si="1"/>
        <v>Monterrey</v>
      </c>
      <c r="D160" s="16" t="str">
        <f t="shared" si="2"/>
        <v>Monterrey</v>
      </c>
      <c r="E160" s="16" t="str">
        <f t="shared" si="3"/>
        <v>Monterrey</v>
      </c>
      <c r="F160" s="16" t="s">
        <v>132</v>
      </c>
      <c r="G160" s="17" t="str">
        <f>IFERROR(__xludf.DUMMYFUNCTION("SPLIT(F160:F1159,""-"") "),"Tablet")</f>
        <v>Tablet</v>
      </c>
      <c r="H160" s="16" t="str">
        <f>IFERROR(__xludf.DUMMYFUNCTION("""COMPUTED_VALUE"""),"Pro")</f>
        <v>Pro</v>
      </c>
      <c r="I160" s="16" t="str">
        <f>IFERROR(__xludf.DUMMYFUNCTION("""COMPUTED_VALUE"""),"8GB")</f>
        <v>8GB</v>
      </c>
      <c r="J160" s="18">
        <v>56.71</v>
      </c>
      <c r="K160" s="16">
        <v>1.0</v>
      </c>
      <c r="L160" s="18">
        <v>56.71</v>
      </c>
      <c r="M160" s="16" t="s">
        <v>924</v>
      </c>
      <c r="N160" s="16" t="s">
        <v>925</v>
      </c>
      <c r="O160" s="16" t="s">
        <v>926</v>
      </c>
    </row>
    <row r="161" ht="15.75" customHeight="1">
      <c r="A161" s="15">
        <v>45646.0</v>
      </c>
      <c r="B161" s="16" t="s">
        <v>9</v>
      </c>
      <c r="C161" s="16" t="str">
        <f t="shared" si="1"/>
        <v>Monterrey</v>
      </c>
      <c r="D161" s="16" t="str">
        <f t="shared" si="2"/>
        <v>Monterrey</v>
      </c>
      <c r="E161" s="16" t="str">
        <f t="shared" si="3"/>
        <v>Monterrey</v>
      </c>
      <c r="F161" s="16" t="s">
        <v>190</v>
      </c>
      <c r="G161" s="17" t="str">
        <f>IFERROR(__xludf.DUMMYFUNCTION("SPLIT(F161:F1160,""-"") "),"Laptop")</f>
        <v>Laptop</v>
      </c>
      <c r="H161" s="16" t="str">
        <f>IFERROR(__xludf.DUMMYFUNCTION("""COMPUTED_VALUE"""),"Ultraliviana")</f>
        <v>Ultraliviana</v>
      </c>
      <c r="I161" s="16" t="str">
        <f>IFERROR(__xludf.DUMMYFUNCTION("""COMPUTED_VALUE"""),"16GB")</f>
        <v>16GB</v>
      </c>
      <c r="J161" s="18">
        <v>841.77</v>
      </c>
      <c r="K161" s="16">
        <v>1.0</v>
      </c>
      <c r="L161" s="18">
        <v>841.77</v>
      </c>
      <c r="M161" s="16" t="s">
        <v>2011</v>
      </c>
      <c r="N161" s="16" t="s">
        <v>2012</v>
      </c>
      <c r="O161" s="16" t="s">
        <v>2013</v>
      </c>
    </row>
    <row r="162" ht="15.75" customHeight="1">
      <c r="A162" s="19">
        <v>45606.0</v>
      </c>
      <c r="B162" s="16" t="s">
        <v>14</v>
      </c>
      <c r="C162" s="16" t="str">
        <f t="shared" si="1"/>
        <v>Bogotá</v>
      </c>
      <c r="D162" s="16" t="str">
        <f t="shared" si="2"/>
        <v>Bogotá</v>
      </c>
      <c r="E162" s="16" t="str">
        <f t="shared" si="3"/>
        <v>Bogotá</v>
      </c>
      <c r="F162" s="16" t="s">
        <v>10</v>
      </c>
      <c r="G162" s="17" t="str">
        <f>IFERROR(__xludf.DUMMYFUNCTION("SPLIT(F162:F1161,""-"") "),"Tablet")</f>
        <v>Tablet</v>
      </c>
      <c r="H162" s="16" t="str">
        <f>IFERROR(__xludf.DUMMYFUNCTION("""COMPUTED_VALUE"""),"Estándar")</f>
        <v>Estándar</v>
      </c>
      <c r="I162" s="16" t="str">
        <f>IFERROR(__xludf.DUMMYFUNCTION("""COMPUTED_VALUE"""),"8GB")</f>
        <v>8GB</v>
      </c>
      <c r="J162" s="18">
        <v>853.52</v>
      </c>
      <c r="K162" s="16">
        <v>5.0</v>
      </c>
      <c r="L162" s="18">
        <v>4267.6</v>
      </c>
      <c r="M162" s="16" t="s">
        <v>927</v>
      </c>
      <c r="N162" s="16" t="s">
        <v>928</v>
      </c>
      <c r="O162" s="16" t="s">
        <v>929</v>
      </c>
    </row>
    <row r="163" ht="15.75" customHeight="1">
      <c r="A163" s="19" t="s">
        <v>2503</v>
      </c>
      <c r="B163" s="16" t="s">
        <v>58</v>
      </c>
      <c r="C163" s="16" t="str">
        <f t="shared" si="1"/>
        <v>Guadalajara</v>
      </c>
      <c r="D163" s="16" t="str">
        <f t="shared" si="2"/>
        <v>Guadalajara</v>
      </c>
      <c r="E163" s="16" t="str">
        <f t="shared" si="3"/>
        <v>Guadalajara</v>
      </c>
      <c r="F163" s="16" t="s">
        <v>15</v>
      </c>
      <c r="G163" s="17" t="str">
        <f>IFERROR(__xludf.DUMMYFUNCTION("SPLIT(F163:F1162,""-"") "),"Auriculares")</f>
        <v>Auriculares</v>
      </c>
      <c r="H163" s="16" t="str">
        <f>IFERROR(__xludf.DUMMYFUNCTION("""COMPUTED_VALUE"""),"Con cable")</f>
        <v>Con cable</v>
      </c>
      <c r="I163" s="16" t="str">
        <f>IFERROR(__xludf.DUMMYFUNCTION("""COMPUTED_VALUE"""),"32GB")</f>
        <v>32GB</v>
      </c>
      <c r="J163" s="18">
        <v>851.86</v>
      </c>
      <c r="K163" s="16">
        <v>1.0</v>
      </c>
      <c r="L163" s="18">
        <v>851.86</v>
      </c>
      <c r="M163" s="16" t="s">
        <v>2504</v>
      </c>
      <c r="N163" s="16" t="s">
        <v>2505</v>
      </c>
      <c r="O163" s="16" t="s">
        <v>2506</v>
      </c>
    </row>
    <row r="164" ht="15.75" customHeight="1">
      <c r="A164" s="15">
        <v>45651.0</v>
      </c>
      <c r="B164" s="16" t="s">
        <v>9</v>
      </c>
      <c r="C164" s="16" t="str">
        <f t="shared" si="1"/>
        <v>Monterrey</v>
      </c>
      <c r="D164" s="16" t="str">
        <f t="shared" si="2"/>
        <v>Monterrey</v>
      </c>
      <c r="E164" s="16" t="str">
        <f t="shared" si="3"/>
        <v>Monterrey</v>
      </c>
      <c r="F164" s="16" t="s">
        <v>163</v>
      </c>
      <c r="G164" s="17" t="str">
        <f>IFERROR(__xludf.DUMMYFUNCTION("SPLIT(F164:F1163,""-"") "),"Laptop")</f>
        <v>Laptop</v>
      </c>
      <c r="H164" s="16" t="str">
        <f>IFERROR(__xludf.DUMMYFUNCTION("""COMPUTED_VALUE"""),"Oficina")</f>
        <v>Oficina</v>
      </c>
      <c r="I164" s="16" t="str">
        <f>IFERROR(__xludf.DUMMYFUNCTION("""COMPUTED_VALUE"""),"32GB")</f>
        <v>32GB</v>
      </c>
      <c r="J164" s="18">
        <v>1047.88</v>
      </c>
      <c r="K164" s="16">
        <v>3.0</v>
      </c>
      <c r="L164" s="18">
        <v>3143.64</v>
      </c>
      <c r="M164" s="16" t="s">
        <v>2162</v>
      </c>
      <c r="N164" s="16" t="s">
        <v>2163</v>
      </c>
      <c r="O164" s="16" t="s">
        <v>2164</v>
      </c>
    </row>
    <row r="165" ht="15.75" customHeight="1">
      <c r="A165" s="15">
        <v>45603.0</v>
      </c>
      <c r="B165" s="16" t="s">
        <v>35</v>
      </c>
      <c r="C165" s="16" t="str">
        <f t="shared" si="1"/>
        <v>Medellín</v>
      </c>
      <c r="D165" s="16" t="str">
        <f t="shared" si="2"/>
        <v>Medellín</v>
      </c>
      <c r="E165" s="16" t="str">
        <f t="shared" si="3"/>
        <v>Medellín</v>
      </c>
      <c r="F165" s="16" t="s">
        <v>94</v>
      </c>
      <c r="G165" s="17" t="str">
        <f>IFERROR(__xludf.DUMMYFUNCTION("SPLIT(F165:F1164,""-"") "),"Tablet")</f>
        <v>Tablet</v>
      </c>
      <c r="H165" s="16" t="str">
        <f>IFERROR(__xludf.DUMMYFUNCTION("""COMPUTED_VALUE"""),"Mini")</f>
        <v>Mini</v>
      </c>
      <c r="I165" s="16" t="str">
        <f>IFERROR(__xludf.DUMMYFUNCTION("""COMPUTED_VALUE"""),"8GB")</f>
        <v>8GB</v>
      </c>
      <c r="J165" s="18">
        <v>700.01</v>
      </c>
      <c r="K165" s="16">
        <v>3.0</v>
      </c>
      <c r="L165" s="18">
        <v>2100.03</v>
      </c>
      <c r="M165" s="16" t="s">
        <v>873</v>
      </c>
      <c r="N165" s="16" t="s">
        <v>874</v>
      </c>
      <c r="O165" s="16" t="s">
        <v>875</v>
      </c>
    </row>
    <row r="166" ht="15.75" customHeight="1">
      <c r="A166" s="19">
        <v>45580.0</v>
      </c>
      <c r="B166" s="16" t="s">
        <v>2359</v>
      </c>
      <c r="C166" s="16" t="str">
        <f t="shared" si="1"/>
        <v>Ciudad De M√©Xico</v>
      </c>
      <c r="D166" s="16" t="str">
        <f t="shared" si="2"/>
        <v>Ciudad De M√©Xico</v>
      </c>
      <c r="E166" s="16" t="str">
        <f t="shared" si="3"/>
        <v>Ciudad De MéXico</v>
      </c>
      <c r="F166" s="16" t="s">
        <v>36</v>
      </c>
      <c r="G166" s="17" t="str">
        <f>IFERROR(__xludf.DUMMYFUNCTION("SPLIT(F166:F1165,""-"") "),"Tablet")</f>
        <v>Tablet</v>
      </c>
      <c r="H166" s="16" t="str">
        <f>IFERROR(__xludf.DUMMYFUNCTION("""COMPUTED_VALUE"""),"Pro")</f>
        <v>Pro</v>
      </c>
      <c r="I166" s="16" t="str">
        <f>IFERROR(__xludf.DUMMYFUNCTION("""COMPUTED_VALUE"""),"4GB")</f>
        <v>4GB</v>
      </c>
      <c r="J166" s="18">
        <v>1909.2</v>
      </c>
      <c r="K166" s="16">
        <v>3.0</v>
      </c>
      <c r="L166" s="18">
        <v>5727.6</v>
      </c>
      <c r="M166" s="16" t="s">
        <v>263</v>
      </c>
      <c r="N166" s="16" t="s">
        <v>264</v>
      </c>
      <c r="O166" s="16" t="s">
        <v>265</v>
      </c>
    </row>
    <row r="167" ht="15.75" customHeight="1">
      <c r="A167" s="15">
        <v>45575.0</v>
      </c>
      <c r="B167" s="16" t="s">
        <v>89</v>
      </c>
      <c r="C167" s="16" t="str">
        <f t="shared" si="1"/>
        <v>Tulum</v>
      </c>
      <c r="D167" s="16" t="str">
        <f t="shared" si="2"/>
        <v>Tulum</v>
      </c>
      <c r="E167" s="16" t="str">
        <f t="shared" si="3"/>
        <v>Tulum</v>
      </c>
      <c r="F167" s="16" t="s">
        <v>90</v>
      </c>
      <c r="G167" s="17" t="str">
        <f>IFERROR(__xludf.DUMMYFUNCTION("SPLIT(F167:F1166,""-"") "),"Laptop")</f>
        <v>Laptop</v>
      </c>
      <c r="H167" s="16" t="str">
        <f>IFERROR(__xludf.DUMMYFUNCTION("""COMPUTED_VALUE"""),"Gaming")</f>
        <v>Gaming</v>
      </c>
      <c r="I167" s="16" t="str">
        <f>IFERROR(__xludf.DUMMYFUNCTION("""COMPUTED_VALUE"""),"32GB")</f>
        <v>32GB</v>
      </c>
      <c r="J167" s="18">
        <v>981.62</v>
      </c>
      <c r="K167" s="16">
        <v>5.0</v>
      </c>
      <c r="L167" s="18">
        <v>4908.1</v>
      </c>
      <c r="M167" s="16" t="s">
        <v>91</v>
      </c>
      <c r="N167" s="16" t="s">
        <v>92</v>
      </c>
      <c r="O167" s="16" t="s">
        <v>93</v>
      </c>
    </row>
    <row r="168" ht="15.75" customHeight="1">
      <c r="A168" s="19">
        <v>45616.0</v>
      </c>
      <c r="B168" s="16" t="s">
        <v>58</v>
      </c>
      <c r="C168" s="16" t="str">
        <f t="shared" si="1"/>
        <v>Guadalajara</v>
      </c>
      <c r="D168" s="16" t="str">
        <f t="shared" si="2"/>
        <v>Guadalajara</v>
      </c>
      <c r="E168" s="16" t="str">
        <f t="shared" si="3"/>
        <v>Guadalajara</v>
      </c>
      <c r="F168" s="16" t="s">
        <v>344</v>
      </c>
      <c r="G168" s="17" t="str">
        <f>IFERROR(__xludf.DUMMYFUNCTION("SPLIT(F168:F1167,""-"") "),"Laptop")</f>
        <v>Laptop</v>
      </c>
      <c r="H168" s="16" t="str">
        <f>IFERROR(__xludf.DUMMYFUNCTION("""COMPUTED_VALUE"""),"Ultraliviana")</f>
        <v>Ultraliviana</v>
      </c>
      <c r="I168" s="16" t="str">
        <f>IFERROR(__xludf.DUMMYFUNCTION("""COMPUTED_VALUE"""),"8GB")</f>
        <v>8GB</v>
      </c>
      <c r="J168" s="18">
        <v>210.76</v>
      </c>
      <c r="K168" s="16">
        <v>5.0</v>
      </c>
      <c r="L168" s="18">
        <v>1053.8</v>
      </c>
      <c r="M168" s="16" t="s">
        <v>1305</v>
      </c>
      <c r="N168" s="16" t="s">
        <v>1306</v>
      </c>
      <c r="O168" s="16" t="s">
        <v>1307</v>
      </c>
    </row>
    <row r="169" ht="15.75" customHeight="1">
      <c r="A169" s="19">
        <v>45584.0</v>
      </c>
      <c r="B169" s="16" t="s">
        <v>75</v>
      </c>
      <c r="C169" s="16" t="str">
        <f t="shared" si="1"/>
        <v>Cali</v>
      </c>
      <c r="D169" s="16" t="str">
        <f t="shared" si="2"/>
        <v>Cali</v>
      </c>
      <c r="E169" s="16" t="str">
        <f t="shared" si="3"/>
        <v>Cali</v>
      </c>
      <c r="F169" s="16" t="s">
        <v>15</v>
      </c>
      <c r="G169" s="17" t="str">
        <f>IFERROR(__xludf.DUMMYFUNCTION("SPLIT(F169:F1168,""-"") "),"Auriculares")</f>
        <v>Auriculares</v>
      </c>
      <c r="H169" s="16" t="str">
        <f>IFERROR(__xludf.DUMMYFUNCTION("""COMPUTED_VALUE"""),"Con cable")</f>
        <v>Con cable</v>
      </c>
      <c r="I169" s="16" t="str">
        <f>IFERROR(__xludf.DUMMYFUNCTION("""COMPUTED_VALUE"""),"32GB")</f>
        <v>32GB</v>
      </c>
      <c r="J169" s="18">
        <v>713.75</v>
      </c>
      <c r="K169" s="16">
        <v>3.0</v>
      </c>
      <c r="L169" s="18">
        <v>2141.25</v>
      </c>
      <c r="M169" s="16" t="s">
        <v>427</v>
      </c>
      <c r="N169" s="16" t="s">
        <v>428</v>
      </c>
      <c r="O169" s="16" t="s">
        <v>429</v>
      </c>
    </row>
    <row r="170" ht="15.75" customHeight="1">
      <c r="A170" s="19">
        <v>45631.0</v>
      </c>
      <c r="B170" s="16" t="s">
        <v>9</v>
      </c>
      <c r="C170" s="16" t="str">
        <f t="shared" si="1"/>
        <v>Monterrey</v>
      </c>
      <c r="D170" s="16" t="str">
        <f t="shared" si="2"/>
        <v>Monterrey</v>
      </c>
      <c r="E170" s="16" t="str">
        <f t="shared" si="3"/>
        <v>Monterrey</v>
      </c>
      <c r="F170" s="16" t="s">
        <v>233</v>
      </c>
      <c r="G170" s="17" t="str">
        <f>IFERROR(__xludf.DUMMYFUNCTION("SPLIT(F170:F1169,""-"") "),"Tablet")</f>
        <v>Tablet</v>
      </c>
      <c r="H170" s="16" t="str">
        <f>IFERROR(__xludf.DUMMYFUNCTION("""COMPUTED_VALUE"""),"Mini")</f>
        <v>Mini</v>
      </c>
      <c r="I170" s="16" t="str">
        <f>IFERROR(__xludf.DUMMYFUNCTION("""COMPUTED_VALUE"""),"16GB")</f>
        <v>16GB</v>
      </c>
      <c r="J170" s="18">
        <v>1005.46</v>
      </c>
      <c r="K170" s="16">
        <v>5.0</v>
      </c>
      <c r="L170" s="18">
        <v>5027.3</v>
      </c>
      <c r="M170" s="16" t="s">
        <v>1682</v>
      </c>
      <c r="N170" s="16" t="s">
        <v>1683</v>
      </c>
      <c r="O170" s="16" t="s">
        <v>1684</v>
      </c>
    </row>
    <row r="171" ht="15.75" customHeight="1">
      <c r="A171" s="19" t="s">
        <v>2507</v>
      </c>
      <c r="B171" s="16" t="s">
        <v>35</v>
      </c>
      <c r="C171" s="16" t="str">
        <f t="shared" si="1"/>
        <v>Medellín</v>
      </c>
      <c r="D171" s="16" t="str">
        <f t="shared" si="2"/>
        <v>Medellín</v>
      </c>
      <c r="E171" s="16" t="str">
        <f t="shared" si="3"/>
        <v>Medellín</v>
      </c>
      <c r="F171" s="16" t="s">
        <v>344</v>
      </c>
      <c r="G171" s="17" t="str">
        <f>IFERROR(__xludf.DUMMYFUNCTION("SPLIT(F171:F1170,""-"") "),"Laptop")</f>
        <v>Laptop</v>
      </c>
      <c r="H171" s="16" t="str">
        <f>IFERROR(__xludf.DUMMYFUNCTION("""COMPUTED_VALUE"""),"Ultraliviana")</f>
        <v>Ultraliviana</v>
      </c>
      <c r="I171" s="16" t="str">
        <f>IFERROR(__xludf.DUMMYFUNCTION("""COMPUTED_VALUE"""),"8GB")</f>
        <v>8GB</v>
      </c>
      <c r="J171" s="18">
        <v>208.54</v>
      </c>
      <c r="K171" s="16">
        <v>2.0</v>
      </c>
      <c r="L171" s="18">
        <v>417.08</v>
      </c>
      <c r="M171" s="16" t="s">
        <v>2508</v>
      </c>
      <c r="N171" s="16" t="s">
        <v>2509</v>
      </c>
      <c r="O171" s="16" t="s">
        <v>2510</v>
      </c>
    </row>
    <row r="172" ht="15.75" customHeight="1">
      <c r="A172" s="19">
        <v>45630.0</v>
      </c>
      <c r="B172" s="16" t="s">
        <v>75</v>
      </c>
      <c r="C172" s="16" t="str">
        <f t="shared" si="1"/>
        <v>Cali</v>
      </c>
      <c r="D172" s="16" t="str">
        <f t="shared" si="2"/>
        <v>Cali</v>
      </c>
      <c r="E172" s="16" t="str">
        <f t="shared" si="3"/>
        <v>Cali</v>
      </c>
      <c r="F172" s="16" t="s">
        <v>282</v>
      </c>
      <c r="G172" s="17" t="str">
        <f>IFERROR(__xludf.DUMMYFUNCTION("SPLIT(F172:F1171,""-"") "),"Tablet")</f>
        <v>Tablet</v>
      </c>
      <c r="H172" s="16" t="str">
        <f>IFERROR(__xludf.DUMMYFUNCTION("""COMPUTED_VALUE"""),"Pro")</f>
        <v>Pro</v>
      </c>
      <c r="I172" s="16" t="str">
        <f>IFERROR(__xludf.DUMMYFUNCTION("""COMPUTED_VALUE"""),"16GB")</f>
        <v>16GB</v>
      </c>
      <c r="J172" s="18">
        <v>1902.94</v>
      </c>
      <c r="K172" s="16">
        <v>4.0</v>
      </c>
      <c r="L172" s="18">
        <v>7611.76</v>
      </c>
      <c r="M172" s="16" t="s">
        <v>1664</v>
      </c>
      <c r="N172" s="16" t="s">
        <v>1665</v>
      </c>
      <c r="O172" s="16" t="s">
        <v>1666</v>
      </c>
    </row>
    <row r="173" ht="15.75" customHeight="1">
      <c r="A173" s="15">
        <v>45595.0</v>
      </c>
      <c r="B173" s="16" t="s">
        <v>75</v>
      </c>
      <c r="C173" s="16" t="str">
        <f t="shared" si="1"/>
        <v>Cali</v>
      </c>
      <c r="D173" s="16" t="str">
        <f t="shared" si="2"/>
        <v>Cali</v>
      </c>
      <c r="E173" s="16" t="str">
        <f t="shared" si="3"/>
        <v>Cali</v>
      </c>
      <c r="F173" s="16" t="s">
        <v>31</v>
      </c>
      <c r="G173" s="17" t="str">
        <f>IFERROR(__xludf.DUMMYFUNCTION("SPLIT(F173:F1172,""-"") "),"Teléfono")</f>
        <v>Teléfono</v>
      </c>
      <c r="H173" s="16" t="str">
        <f>IFERROR(__xludf.DUMMYFUNCTION("""COMPUTED_VALUE"""),"Gama alta")</f>
        <v>Gama alta</v>
      </c>
      <c r="I173" s="16" t="str">
        <f>IFERROR(__xludf.DUMMYFUNCTION("""COMPUTED_VALUE"""),"32GB")</f>
        <v>32GB</v>
      </c>
      <c r="J173" s="18">
        <v>2317.48</v>
      </c>
      <c r="K173" s="16">
        <v>1.0</v>
      </c>
      <c r="L173" s="18">
        <v>2317.48</v>
      </c>
      <c r="M173" s="16" t="s">
        <v>769</v>
      </c>
      <c r="N173" s="16" t="s">
        <v>770</v>
      </c>
      <c r="O173" s="16" t="s">
        <v>771</v>
      </c>
    </row>
    <row r="174" ht="15.75" customHeight="1">
      <c r="A174" s="19">
        <v>45598.0</v>
      </c>
      <c r="B174" s="16" t="s">
        <v>14</v>
      </c>
      <c r="C174" s="16" t="str">
        <f t="shared" si="1"/>
        <v>Bogotá</v>
      </c>
      <c r="D174" s="16" t="str">
        <f t="shared" si="2"/>
        <v>Bogotá</v>
      </c>
      <c r="E174" s="16" t="str">
        <f t="shared" si="3"/>
        <v>Bogotá</v>
      </c>
      <c r="F174" s="16" t="s">
        <v>36</v>
      </c>
      <c r="G174" s="17" t="str">
        <f>IFERROR(__xludf.DUMMYFUNCTION("SPLIT(F174:F1173,""-"") "),"Tablet")</f>
        <v>Tablet</v>
      </c>
      <c r="H174" s="16" t="str">
        <f>IFERROR(__xludf.DUMMYFUNCTION("""COMPUTED_VALUE"""),"Pro")</f>
        <v>Pro</v>
      </c>
      <c r="I174" s="16" t="str">
        <f>IFERROR(__xludf.DUMMYFUNCTION("""COMPUTED_VALUE"""),"4GB")</f>
        <v>4GB</v>
      </c>
      <c r="J174" s="18">
        <v>1522.98</v>
      </c>
      <c r="K174" s="16">
        <v>1.0</v>
      </c>
      <c r="L174" s="18">
        <v>1522.98</v>
      </c>
      <c r="M174" s="16" t="s">
        <v>818</v>
      </c>
      <c r="N174" s="16" t="s">
        <v>819</v>
      </c>
      <c r="O174" s="16" t="s">
        <v>820</v>
      </c>
    </row>
    <row r="175" ht="15.75" customHeight="1">
      <c r="A175" s="15">
        <v>45657.0</v>
      </c>
      <c r="B175" s="16" t="s">
        <v>58</v>
      </c>
      <c r="C175" s="16" t="str">
        <f t="shared" si="1"/>
        <v>Guadalajara</v>
      </c>
      <c r="D175" s="16" t="str">
        <f t="shared" si="2"/>
        <v>Guadalajara</v>
      </c>
      <c r="E175" s="16" t="str">
        <f t="shared" si="3"/>
        <v>Guadalajara</v>
      </c>
      <c r="F175" s="16" t="s">
        <v>31</v>
      </c>
      <c r="G175" s="17" t="str">
        <f>IFERROR(__xludf.DUMMYFUNCTION("SPLIT(F175:F1174,""-"") "),"Teléfono")</f>
        <v>Teléfono</v>
      </c>
      <c r="H175" s="16" t="str">
        <f>IFERROR(__xludf.DUMMYFUNCTION("""COMPUTED_VALUE"""),"Gama alta")</f>
        <v>Gama alta</v>
      </c>
      <c r="I175" s="16" t="str">
        <f>IFERROR(__xludf.DUMMYFUNCTION("""COMPUTED_VALUE"""),"32GB")</f>
        <v>32GB</v>
      </c>
      <c r="J175" s="18">
        <v>807.96</v>
      </c>
      <c r="K175" s="16">
        <v>2.0</v>
      </c>
      <c r="L175" s="18">
        <v>1615.92</v>
      </c>
      <c r="M175" s="16" t="s">
        <v>2342</v>
      </c>
      <c r="N175" s="16" t="s">
        <v>2343</v>
      </c>
      <c r="O175" s="16" t="s">
        <v>2344</v>
      </c>
    </row>
    <row r="176" ht="15.75" customHeight="1">
      <c r="A176" s="19" t="s">
        <v>2511</v>
      </c>
      <c r="B176" s="16" t="s">
        <v>75</v>
      </c>
      <c r="C176" s="16" t="str">
        <f t="shared" si="1"/>
        <v>Cali</v>
      </c>
      <c r="D176" s="16" t="str">
        <f t="shared" si="2"/>
        <v>Cali</v>
      </c>
      <c r="E176" s="16" t="str">
        <f t="shared" si="3"/>
        <v>Cali</v>
      </c>
      <c r="F176" s="16" t="s">
        <v>50</v>
      </c>
      <c r="G176" s="17" t="str">
        <f>IFERROR(__xludf.DUMMYFUNCTION("SPLIT(F176:F1175,""-"") "),"Tablet")</f>
        <v>Tablet</v>
      </c>
      <c r="H176" s="16" t="str">
        <f>IFERROR(__xludf.DUMMYFUNCTION("""COMPUTED_VALUE"""),"Estándar")</f>
        <v>Estándar</v>
      </c>
      <c r="I176" s="16" t="str">
        <f>IFERROR(__xludf.DUMMYFUNCTION("""COMPUTED_VALUE"""),"32GB")</f>
        <v>32GB</v>
      </c>
      <c r="J176" s="18">
        <v>761.94</v>
      </c>
      <c r="K176" s="16">
        <v>4.0</v>
      </c>
      <c r="L176" s="18">
        <v>3047.76</v>
      </c>
      <c r="M176" s="16" t="s">
        <v>2512</v>
      </c>
      <c r="N176" s="16" t="s">
        <v>2513</v>
      </c>
      <c r="O176" s="16" t="s">
        <v>2514</v>
      </c>
    </row>
    <row r="177" ht="15.75" customHeight="1">
      <c r="A177" s="15">
        <v>45570.0</v>
      </c>
      <c r="B177" s="16" t="s">
        <v>9</v>
      </c>
      <c r="C177" s="16" t="str">
        <f t="shared" si="1"/>
        <v>Monterrey</v>
      </c>
      <c r="D177" s="16" t="str">
        <f t="shared" si="2"/>
        <v>Monterrey</v>
      </c>
      <c r="E177" s="16" t="str">
        <f t="shared" si="3"/>
        <v>Monterrey</v>
      </c>
      <c r="F177" s="16" t="s">
        <v>40</v>
      </c>
      <c r="G177" s="17" t="str">
        <f>IFERROR(__xludf.DUMMYFUNCTION("SPLIT(F177:F1176,""-"") "),"Auriculares")</f>
        <v>Auriculares</v>
      </c>
      <c r="H177" s="16" t="str">
        <f>IFERROR(__xludf.DUMMYFUNCTION("""COMPUTED_VALUE"""),"Con cable")</f>
        <v>Con cable</v>
      </c>
      <c r="I177" s="16" t="str">
        <f>IFERROR(__xludf.DUMMYFUNCTION("""COMPUTED_VALUE"""),"8GB")</f>
        <v>8GB</v>
      </c>
      <c r="J177" s="18">
        <v>1898.32</v>
      </c>
      <c r="K177" s="16">
        <v>4.0</v>
      </c>
      <c r="L177" s="18">
        <v>7593.28</v>
      </c>
      <c r="M177" s="16" t="s">
        <v>44</v>
      </c>
      <c r="N177" s="16" t="s">
        <v>45</v>
      </c>
      <c r="O177" s="16" t="s">
        <v>46</v>
      </c>
    </row>
    <row r="178" ht="15.75" customHeight="1">
      <c r="A178" s="19">
        <v>45616.0</v>
      </c>
      <c r="B178" s="16" t="s">
        <v>35</v>
      </c>
      <c r="C178" s="16" t="str">
        <f t="shared" si="1"/>
        <v>Medellín</v>
      </c>
      <c r="D178" s="16" t="str">
        <f t="shared" si="2"/>
        <v>Medellín</v>
      </c>
      <c r="E178" s="16" t="str">
        <f t="shared" si="3"/>
        <v>Medellín</v>
      </c>
      <c r="F178" s="16" t="s">
        <v>50</v>
      </c>
      <c r="G178" s="17" t="str">
        <f>IFERROR(__xludf.DUMMYFUNCTION("SPLIT(F178:F1177,""-"") "),"Tablet")</f>
        <v>Tablet</v>
      </c>
      <c r="H178" s="16" t="str">
        <f>IFERROR(__xludf.DUMMYFUNCTION("""COMPUTED_VALUE"""),"Estándar")</f>
        <v>Estándar</v>
      </c>
      <c r="I178" s="16" t="str">
        <f>IFERROR(__xludf.DUMMYFUNCTION("""COMPUTED_VALUE"""),"32GB")</f>
        <v>32GB</v>
      </c>
      <c r="J178" s="18">
        <v>1145.32</v>
      </c>
      <c r="K178" s="16">
        <v>1.0</v>
      </c>
      <c r="L178" s="18">
        <v>1145.32</v>
      </c>
      <c r="M178" s="16" t="s">
        <v>1308</v>
      </c>
      <c r="N178" s="16" t="s">
        <v>1309</v>
      </c>
      <c r="O178" s="16" t="s">
        <v>1310</v>
      </c>
    </row>
    <row r="179" ht="15.75" customHeight="1">
      <c r="A179" s="19">
        <v>45635.0</v>
      </c>
      <c r="B179" s="16" t="s">
        <v>58</v>
      </c>
      <c r="C179" s="16" t="str">
        <f t="shared" si="1"/>
        <v>Guadalajara</v>
      </c>
      <c r="D179" s="16" t="str">
        <f t="shared" si="2"/>
        <v>Guadalajara</v>
      </c>
      <c r="E179" s="16" t="str">
        <f t="shared" si="3"/>
        <v>Guadalajara</v>
      </c>
      <c r="F179" s="16" t="s">
        <v>63</v>
      </c>
      <c r="G179" s="17" t="str">
        <f>IFERROR(__xludf.DUMMYFUNCTION("SPLIT(F179:F1178,""-"") "),"Laptop")</f>
        <v>Laptop</v>
      </c>
      <c r="H179" s="16" t="str">
        <f>IFERROR(__xludf.DUMMYFUNCTION("""COMPUTED_VALUE"""),"Ultraliviana")</f>
        <v>Ultraliviana</v>
      </c>
      <c r="I179" s="16" t="str">
        <f>IFERROR(__xludf.DUMMYFUNCTION("""COMPUTED_VALUE"""),"4GB")</f>
        <v>4GB</v>
      </c>
      <c r="J179" s="18">
        <v>1865.55</v>
      </c>
      <c r="K179" s="16">
        <v>2.0</v>
      </c>
      <c r="L179" s="18">
        <v>3731.1</v>
      </c>
      <c r="M179" s="16" t="s">
        <v>1721</v>
      </c>
      <c r="N179" s="16" t="s">
        <v>1722</v>
      </c>
      <c r="O179" s="16" t="s">
        <v>1723</v>
      </c>
    </row>
    <row r="180" ht="15.75" customHeight="1">
      <c r="A180" s="19">
        <v>45602.0</v>
      </c>
      <c r="B180" s="16" t="s">
        <v>35</v>
      </c>
      <c r="C180" s="16" t="str">
        <f t="shared" si="1"/>
        <v>Medellín</v>
      </c>
      <c r="D180" s="16" t="str">
        <f t="shared" si="2"/>
        <v>Medellín</v>
      </c>
      <c r="E180" s="16" t="str">
        <f t="shared" si="3"/>
        <v>Medellín</v>
      </c>
      <c r="F180" s="16" t="s">
        <v>430</v>
      </c>
      <c r="G180" s="17" t="str">
        <f>IFERROR(__xludf.DUMMYFUNCTION("SPLIT(F180:F1179,""-"") "),"Teléfono")</f>
        <v>Teléfono</v>
      </c>
      <c r="H180" s="16" t="str">
        <f>IFERROR(__xludf.DUMMYFUNCTION("""COMPUTED_VALUE"""),"Gama alta")</f>
        <v>Gama alta</v>
      </c>
      <c r="I180" s="16" t="str">
        <f>IFERROR(__xludf.DUMMYFUNCTION("""COMPUTED_VALUE"""),"4GB")</f>
        <v>4GB</v>
      </c>
      <c r="J180" s="18">
        <v>949.27</v>
      </c>
      <c r="K180" s="16">
        <v>2.0</v>
      </c>
      <c r="L180" s="18">
        <v>1898.54</v>
      </c>
      <c r="M180" s="16" t="s">
        <v>864</v>
      </c>
      <c r="N180" s="16" t="s">
        <v>865</v>
      </c>
      <c r="O180" s="16" t="s">
        <v>866</v>
      </c>
    </row>
    <row r="181" ht="15.75" customHeight="1">
      <c r="A181" s="15">
        <v>45647.0</v>
      </c>
      <c r="B181" s="16" t="s">
        <v>9</v>
      </c>
      <c r="C181" s="16" t="str">
        <f t="shared" si="1"/>
        <v>Monterrey</v>
      </c>
      <c r="D181" s="16" t="str">
        <f t="shared" si="2"/>
        <v>Monterrey</v>
      </c>
      <c r="E181" s="16" t="str">
        <f t="shared" si="3"/>
        <v>Monterrey</v>
      </c>
      <c r="F181" s="16" t="s">
        <v>163</v>
      </c>
      <c r="G181" s="17" t="str">
        <f>IFERROR(__xludf.DUMMYFUNCTION("SPLIT(F181:F1180,""-"") "),"Laptop")</f>
        <v>Laptop</v>
      </c>
      <c r="H181" s="16" t="str">
        <f>IFERROR(__xludf.DUMMYFUNCTION("""COMPUTED_VALUE"""),"Oficina")</f>
        <v>Oficina</v>
      </c>
      <c r="I181" s="16" t="str">
        <f>IFERROR(__xludf.DUMMYFUNCTION("""COMPUTED_VALUE"""),"32GB")</f>
        <v>32GB</v>
      </c>
      <c r="J181" s="18">
        <v>1944.73</v>
      </c>
      <c r="K181" s="16">
        <v>4.0</v>
      </c>
      <c r="L181" s="18">
        <v>7778.92</v>
      </c>
      <c r="M181" s="16" t="s">
        <v>2038</v>
      </c>
      <c r="N181" s="16" t="s">
        <v>2039</v>
      </c>
      <c r="O181" s="16" t="s">
        <v>2040</v>
      </c>
    </row>
    <row r="182" ht="15.75" customHeight="1">
      <c r="A182" s="19">
        <v>45585.0</v>
      </c>
      <c r="B182" s="16" t="s">
        <v>2359</v>
      </c>
      <c r="C182" s="16" t="str">
        <f t="shared" si="1"/>
        <v>Ciudad De M√©Xico</v>
      </c>
      <c r="D182" s="16" t="str">
        <f t="shared" si="2"/>
        <v>Ciudad De M√©Xico</v>
      </c>
      <c r="E182" s="16" t="str">
        <f t="shared" si="3"/>
        <v>Ciudad De MéXico</v>
      </c>
      <c r="F182" s="16" t="s">
        <v>10</v>
      </c>
      <c r="G182" s="17" t="str">
        <f>IFERROR(__xludf.DUMMYFUNCTION("SPLIT(F182:F1181,""-"") "),"Tablet")</f>
        <v>Tablet</v>
      </c>
      <c r="H182" s="16" t="str">
        <f>IFERROR(__xludf.DUMMYFUNCTION("""COMPUTED_VALUE"""),"Estándar")</f>
        <v>Estándar</v>
      </c>
      <c r="I182" s="16" t="str">
        <f>IFERROR(__xludf.DUMMYFUNCTION("""COMPUTED_VALUE"""),"8GB")</f>
        <v>8GB</v>
      </c>
      <c r="J182" s="18">
        <v>1956.0</v>
      </c>
      <c r="K182" s="16">
        <v>5.0</v>
      </c>
      <c r="L182" s="18">
        <v>9780.0</v>
      </c>
      <c r="M182" s="16" t="s">
        <v>464</v>
      </c>
      <c r="N182" s="16" t="s">
        <v>465</v>
      </c>
      <c r="O182" s="16" t="s">
        <v>466</v>
      </c>
    </row>
    <row r="183" ht="15.75" customHeight="1">
      <c r="A183" s="19">
        <v>45619.0</v>
      </c>
      <c r="B183" s="16" t="s">
        <v>2359</v>
      </c>
      <c r="C183" s="16" t="str">
        <f t="shared" si="1"/>
        <v>Ciudad De M√©Xico</v>
      </c>
      <c r="D183" s="16" t="str">
        <f t="shared" si="2"/>
        <v>Ciudad De M√©Xico</v>
      </c>
      <c r="E183" s="16" t="str">
        <f t="shared" si="3"/>
        <v>Ciudad De MéXico</v>
      </c>
      <c r="F183" s="16" t="s">
        <v>94</v>
      </c>
      <c r="G183" s="17" t="str">
        <f>IFERROR(__xludf.DUMMYFUNCTION("SPLIT(F183:F1182,""-"") "),"Tablet")</f>
        <v>Tablet</v>
      </c>
      <c r="H183" s="16" t="str">
        <f>IFERROR(__xludf.DUMMYFUNCTION("""COMPUTED_VALUE"""),"Mini")</f>
        <v>Mini</v>
      </c>
      <c r="I183" s="16" t="str">
        <f>IFERROR(__xludf.DUMMYFUNCTION("""COMPUTED_VALUE"""),"8GB")</f>
        <v>8GB</v>
      </c>
      <c r="J183" s="18">
        <v>1848.95</v>
      </c>
      <c r="K183" s="16">
        <v>3.0</v>
      </c>
      <c r="L183" s="18">
        <v>5546.85</v>
      </c>
      <c r="M183" s="16" t="s">
        <v>1414</v>
      </c>
      <c r="N183" s="16" t="s">
        <v>1415</v>
      </c>
      <c r="O183" s="16" t="s">
        <v>1416</v>
      </c>
    </row>
    <row r="184" ht="15.75" customHeight="1">
      <c r="A184" s="19">
        <v>45642.0</v>
      </c>
      <c r="B184" s="16" t="s">
        <v>75</v>
      </c>
      <c r="C184" s="16" t="str">
        <f t="shared" si="1"/>
        <v>Cali</v>
      </c>
      <c r="D184" s="16" t="str">
        <f t="shared" si="2"/>
        <v>Cali</v>
      </c>
      <c r="E184" s="16" t="str">
        <f t="shared" si="3"/>
        <v>Cali</v>
      </c>
      <c r="F184" s="16" t="s">
        <v>292</v>
      </c>
      <c r="G184" s="17" t="str">
        <f>IFERROR(__xludf.DUMMYFUNCTION("SPLIT(F184:F1183,""-"") "),"Teléfono")</f>
        <v>Teléfono</v>
      </c>
      <c r="H184" s="16" t="str">
        <f>IFERROR(__xludf.DUMMYFUNCTION("""COMPUTED_VALUE"""),"Gama alta")</f>
        <v>Gama alta</v>
      </c>
      <c r="I184" s="16" t="str">
        <f>IFERROR(__xludf.DUMMYFUNCTION("""COMPUTED_VALUE"""),"16GB")</f>
        <v>16GB</v>
      </c>
      <c r="J184" s="18">
        <v>814.63</v>
      </c>
      <c r="K184" s="16">
        <v>1.0</v>
      </c>
      <c r="L184" s="18">
        <v>814.63</v>
      </c>
      <c r="M184" s="16" t="s">
        <v>1882</v>
      </c>
      <c r="N184" s="16" t="s">
        <v>1883</v>
      </c>
      <c r="O184" s="16" t="s">
        <v>1884</v>
      </c>
    </row>
    <row r="185" ht="15.75" customHeight="1">
      <c r="A185" s="15">
        <v>45579.0</v>
      </c>
      <c r="B185" s="16" t="s">
        <v>14</v>
      </c>
      <c r="C185" s="16" t="str">
        <f t="shared" si="1"/>
        <v>Bogotá</v>
      </c>
      <c r="D185" s="16" t="str">
        <f t="shared" si="2"/>
        <v>Bogotá</v>
      </c>
      <c r="E185" s="16" t="str">
        <f t="shared" si="3"/>
        <v>Bogotá</v>
      </c>
      <c r="F185" s="16" t="s">
        <v>190</v>
      </c>
      <c r="G185" s="17" t="str">
        <f>IFERROR(__xludf.DUMMYFUNCTION("SPLIT(F185:F1184,""-"") "),"Laptop")</f>
        <v>Laptop</v>
      </c>
      <c r="H185" s="16" t="str">
        <f>IFERROR(__xludf.DUMMYFUNCTION("""COMPUTED_VALUE"""),"Ultraliviana")</f>
        <v>Ultraliviana</v>
      </c>
      <c r="I185" s="16" t="str">
        <f>IFERROR(__xludf.DUMMYFUNCTION("""COMPUTED_VALUE"""),"16GB")</f>
        <v>16GB</v>
      </c>
      <c r="J185" s="18">
        <v>120.94</v>
      </c>
      <c r="K185" s="16">
        <v>3.0</v>
      </c>
      <c r="L185" s="22">
        <f>(J185*K185)</f>
        <v>362.82</v>
      </c>
      <c r="M185" s="16" t="s">
        <v>212</v>
      </c>
      <c r="N185" s="16" t="s">
        <v>213</v>
      </c>
      <c r="O185" s="16" t="s">
        <v>214</v>
      </c>
    </row>
    <row r="186" ht="15.75" customHeight="1">
      <c r="A186" s="19">
        <v>45595.0</v>
      </c>
      <c r="B186" s="16" t="s">
        <v>58</v>
      </c>
      <c r="C186" s="16" t="str">
        <f t="shared" si="1"/>
        <v>Guadalajara</v>
      </c>
      <c r="D186" s="16" t="str">
        <f t="shared" si="2"/>
        <v>Guadalajara</v>
      </c>
      <c r="E186" s="16" t="str">
        <f t="shared" si="3"/>
        <v>Guadalajara</v>
      </c>
      <c r="F186" s="16" t="s">
        <v>94</v>
      </c>
      <c r="G186" s="17" t="str">
        <f>IFERROR(__xludf.DUMMYFUNCTION("SPLIT(F186:F1185,""-"") "),"Tablet")</f>
        <v>Tablet</v>
      </c>
      <c r="H186" s="16" t="str">
        <f>IFERROR(__xludf.DUMMYFUNCTION("""COMPUTED_VALUE"""),"Mini")</f>
        <v>Mini</v>
      </c>
      <c r="I186" s="16" t="str">
        <f>IFERROR(__xludf.DUMMYFUNCTION("""COMPUTED_VALUE"""),"8GB")</f>
        <v>8GB</v>
      </c>
      <c r="J186" s="18">
        <v>797.71</v>
      </c>
      <c r="K186" s="16">
        <v>1.0</v>
      </c>
      <c r="L186" s="18">
        <v>797.71</v>
      </c>
      <c r="M186" s="16" t="s">
        <v>772</v>
      </c>
      <c r="N186" s="16" t="s">
        <v>773</v>
      </c>
      <c r="O186" s="16" t="s">
        <v>774</v>
      </c>
    </row>
    <row r="187" ht="15.75" customHeight="1">
      <c r="A187" s="19">
        <v>45604.0</v>
      </c>
      <c r="B187" s="16" t="s">
        <v>75</v>
      </c>
      <c r="C187" s="16" t="str">
        <f t="shared" si="1"/>
        <v>Cali</v>
      </c>
      <c r="D187" s="16" t="str">
        <f t="shared" si="2"/>
        <v>Cali</v>
      </c>
      <c r="E187" s="16" t="str">
        <f t="shared" si="3"/>
        <v>Cali</v>
      </c>
      <c r="F187" s="16" t="s">
        <v>218</v>
      </c>
      <c r="G187" s="17" t="str">
        <f>IFERROR(__xludf.DUMMYFUNCTION("SPLIT(F187:F1186,""-"") "),"Teléfono")</f>
        <v>Teléfono</v>
      </c>
      <c r="H187" s="16" t="str">
        <f>IFERROR(__xludf.DUMMYFUNCTION("""COMPUTED_VALUE"""),"Gama media")</f>
        <v>Gama media</v>
      </c>
      <c r="I187" s="16" t="str">
        <f>IFERROR(__xludf.DUMMYFUNCTION("""COMPUTED_VALUE"""),"4GB")</f>
        <v>4GB</v>
      </c>
      <c r="J187" s="18">
        <v>762.46</v>
      </c>
      <c r="K187" s="16">
        <v>1.0</v>
      </c>
      <c r="L187" s="18">
        <v>762.46</v>
      </c>
      <c r="M187" s="16" t="s">
        <v>894</v>
      </c>
      <c r="N187" s="16" t="s">
        <v>895</v>
      </c>
      <c r="O187" s="16" t="s">
        <v>896</v>
      </c>
    </row>
    <row r="188" ht="15.75" customHeight="1">
      <c r="A188" s="15">
        <v>45652.0</v>
      </c>
      <c r="B188" s="16" t="s">
        <v>75</v>
      </c>
      <c r="C188" s="16" t="str">
        <f t="shared" si="1"/>
        <v>Cali</v>
      </c>
      <c r="D188" s="16" t="str">
        <f t="shared" si="2"/>
        <v>Cali</v>
      </c>
      <c r="E188" s="16" t="str">
        <f t="shared" si="3"/>
        <v>Cali</v>
      </c>
      <c r="F188" s="16" t="s">
        <v>186</v>
      </c>
      <c r="G188" s="17" t="str">
        <f>IFERROR(__xludf.DUMMYFUNCTION("SPLIT(F188:F1187,""-"") "),"Auriculares")</f>
        <v>Auriculares</v>
      </c>
      <c r="H188" s="16" t="str">
        <f>IFERROR(__xludf.DUMMYFUNCTION("""COMPUTED_VALUE"""),"Cancelaci√≥n de ruido")</f>
        <v>Cancelaci√≥n de ruido</v>
      </c>
      <c r="I188" s="16" t="str">
        <f>IFERROR(__xludf.DUMMYFUNCTION("""COMPUTED_VALUE"""),"16GB")</f>
        <v>16GB</v>
      </c>
      <c r="J188" s="18">
        <v>1794.09</v>
      </c>
      <c r="K188" s="16">
        <v>5.0</v>
      </c>
      <c r="L188" s="18">
        <v>8970.45</v>
      </c>
      <c r="M188" s="16" t="s">
        <v>2189</v>
      </c>
      <c r="N188" s="16" t="s">
        <v>2190</v>
      </c>
      <c r="O188" s="16" t="s">
        <v>2191</v>
      </c>
    </row>
    <row r="189" ht="15.75" customHeight="1">
      <c r="A189" s="19">
        <v>45627.0</v>
      </c>
      <c r="B189" s="16" t="s">
        <v>2359</v>
      </c>
      <c r="C189" s="16" t="str">
        <f t="shared" si="1"/>
        <v>Ciudad De M√©Xico</v>
      </c>
      <c r="D189" s="16" t="str">
        <f t="shared" si="2"/>
        <v>Ciudad De M√©Xico</v>
      </c>
      <c r="E189" s="16" t="str">
        <f t="shared" si="3"/>
        <v>Ciudad De MéXico</v>
      </c>
      <c r="F189" s="16" t="s">
        <v>229</v>
      </c>
      <c r="G189" s="17" t="str">
        <f>IFERROR(__xludf.DUMMYFUNCTION("SPLIT(F189:F1188,""-"") "),"Laptop")</f>
        <v>Laptop</v>
      </c>
      <c r="H189" s="16" t="str">
        <f>IFERROR(__xludf.DUMMYFUNCTION("""COMPUTED_VALUE"""),"Oficina")</f>
        <v>Oficina</v>
      </c>
      <c r="I189" s="16" t="str">
        <f>IFERROR(__xludf.DUMMYFUNCTION("""COMPUTED_VALUE"""),"4GB")</f>
        <v>4GB</v>
      </c>
      <c r="J189" s="18">
        <v>157.89</v>
      </c>
      <c r="K189" s="16">
        <v>1.0</v>
      </c>
      <c r="L189" s="18">
        <v>157.89</v>
      </c>
      <c r="M189" s="16" t="s">
        <v>1640</v>
      </c>
      <c r="N189" s="16" t="s">
        <v>1641</v>
      </c>
      <c r="O189" s="16" t="s">
        <v>1642</v>
      </c>
    </row>
    <row r="190" ht="15.75" customHeight="1">
      <c r="A190" s="15">
        <v>45599.0</v>
      </c>
      <c r="B190" s="16" t="s">
        <v>58</v>
      </c>
      <c r="C190" s="16" t="str">
        <f t="shared" si="1"/>
        <v>Guadalajara</v>
      </c>
      <c r="D190" s="16" t="str">
        <f t="shared" si="2"/>
        <v>Guadalajara</v>
      </c>
      <c r="E190" s="16" t="str">
        <f t="shared" si="3"/>
        <v>Guadalajara</v>
      </c>
      <c r="F190" s="16" t="s">
        <v>272</v>
      </c>
      <c r="G190" s="17" t="str">
        <f>IFERROR(__xludf.DUMMYFUNCTION("SPLIT(F190:F1189,""-"") "),"Teléfono")</f>
        <v>Teléfono</v>
      </c>
      <c r="H190" s="16" t="str">
        <f>IFERROR(__xludf.DUMMYFUNCTION("""COMPUTED_VALUE"""),"Gama baja")</f>
        <v>Gama baja</v>
      </c>
      <c r="I190" s="16" t="str">
        <f>IFERROR(__xludf.DUMMYFUNCTION("""COMPUTED_VALUE"""),"32GB")</f>
        <v>32GB</v>
      </c>
      <c r="J190" s="18">
        <v>642.49</v>
      </c>
      <c r="K190" s="16">
        <v>4.0</v>
      </c>
      <c r="L190" s="18">
        <v>2569.96</v>
      </c>
      <c r="M190" s="16" t="s">
        <v>827</v>
      </c>
      <c r="N190" s="16" t="s">
        <v>828</v>
      </c>
      <c r="O190" s="16" t="s">
        <v>829</v>
      </c>
    </row>
    <row r="191" ht="15.75" customHeight="1">
      <c r="A191" s="19">
        <v>45582.0</v>
      </c>
      <c r="B191" s="16" t="s">
        <v>2359</v>
      </c>
      <c r="C191" s="16" t="str">
        <f t="shared" si="1"/>
        <v>Ciudad De M√©Xico</v>
      </c>
      <c r="D191" s="16" t="str">
        <f t="shared" si="2"/>
        <v>Ciudad De M√©Xico</v>
      </c>
      <c r="E191" s="16" t="str">
        <f t="shared" si="3"/>
        <v>Ciudad De MéXico</v>
      </c>
      <c r="F191" s="16" t="s">
        <v>255</v>
      </c>
      <c r="G191" s="17" t="str">
        <f>IFERROR(__xludf.DUMMYFUNCTION("SPLIT(F191:F1190,""-"") "),"Auriculares")</f>
        <v>Auriculares</v>
      </c>
      <c r="H191" s="16" t="str">
        <f>IFERROR(__xludf.DUMMYFUNCTION("""COMPUTED_VALUE"""),"Bluetooth")</f>
        <v>Bluetooth</v>
      </c>
      <c r="I191" s="16" t="str">
        <f>IFERROR(__xludf.DUMMYFUNCTION("""COMPUTED_VALUE"""),"8GB")</f>
        <v>8GB</v>
      </c>
      <c r="J191" s="18">
        <v>798.65</v>
      </c>
      <c r="K191" s="16">
        <v>1.0</v>
      </c>
      <c r="L191" s="18">
        <v>798.65</v>
      </c>
      <c r="M191" s="16" t="s">
        <v>351</v>
      </c>
      <c r="N191" s="16" t="s">
        <v>352</v>
      </c>
      <c r="O191" s="16" t="s">
        <v>353</v>
      </c>
    </row>
    <row r="192" ht="15.75" customHeight="1">
      <c r="A192" s="19">
        <v>45614.0</v>
      </c>
      <c r="B192" s="16" t="s">
        <v>58</v>
      </c>
      <c r="C192" s="16" t="str">
        <f t="shared" si="1"/>
        <v>Guadalajara</v>
      </c>
      <c r="D192" s="16" t="str">
        <f t="shared" si="2"/>
        <v>Guadalajara</v>
      </c>
      <c r="E192" s="16" t="str">
        <f t="shared" si="3"/>
        <v>Guadalajara</v>
      </c>
      <c r="F192" s="16" t="s">
        <v>186</v>
      </c>
      <c r="G192" s="17" t="str">
        <f>IFERROR(__xludf.DUMMYFUNCTION("SPLIT(F192:F1191,""-"") "),"Auriculares")</f>
        <v>Auriculares</v>
      </c>
      <c r="H192" s="16" t="str">
        <f>IFERROR(__xludf.DUMMYFUNCTION("""COMPUTED_VALUE"""),"Cancelaci√≥n de ruido")</f>
        <v>Cancelaci√≥n de ruido</v>
      </c>
      <c r="I192" s="16" t="str">
        <f>IFERROR(__xludf.DUMMYFUNCTION("""COMPUTED_VALUE"""),"16GB")</f>
        <v>16GB</v>
      </c>
      <c r="J192" s="18">
        <v>1533.19</v>
      </c>
      <c r="K192" s="16">
        <v>4.0</v>
      </c>
      <c r="L192" s="18">
        <v>6132.76</v>
      </c>
      <c r="M192" s="16" t="s">
        <v>1233</v>
      </c>
      <c r="N192" s="16" t="s">
        <v>1234</v>
      </c>
      <c r="O192" s="16" t="s">
        <v>1235</v>
      </c>
    </row>
    <row r="193" ht="15.75" customHeight="1">
      <c r="A193" s="19">
        <v>45638.0</v>
      </c>
      <c r="B193" s="16" t="s">
        <v>2359</v>
      </c>
      <c r="C193" s="16" t="str">
        <f t="shared" si="1"/>
        <v>Ciudad De M√©Xico</v>
      </c>
      <c r="D193" s="16" t="str">
        <f t="shared" si="2"/>
        <v>Ciudad De M√©Xico</v>
      </c>
      <c r="E193" s="16" t="str">
        <f t="shared" si="3"/>
        <v>Ciudad De MéXico</v>
      </c>
      <c r="F193" s="16" t="s">
        <v>163</v>
      </c>
      <c r="G193" s="17" t="str">
        <f>IFERROR(__xludf.DUMMYFUNCTION("SPLIT(F193:F1192,""-"") "),"Laptop")</f>
        <v>Laptop</v>
      </c>
      <c r="H193" s="16" t="str">
        <f>IFERROR(__xludf.DUMMYFUNCTION("""COMPUTED_VALUE"""),"Oficina")</f>
        <v>Oficina</v>
      </c>
      <c r="I193" s="16" t="str">
        <f>IFERROR(__xludf.DUMMYFUNCTION("""COMPUTED_VALUE"""),"32GB")</f>
        <v>32GB</v>
      </c>
      <c r="J193" s="18">
        <v>1247.13</v>
      </c>
      <c r="K193" s="16">
        <v>5.0</v>
      </c>
      <c r="L193" s="18">
        <v>6235.65</v>
      </c>
      <c r="M193" s="16" t="s">
        <v>1790</v>
      </c>
      <c r="N193" s="16" t="s">
        <v>1791</v>
      </c>
      <c r="O193" s="16" t="s">
        <v>1792</v>
      </c>
    </row>
    <row r="194" ht="15.75" customHeight="1">
      <c r="A194" s="15">
        <v>45587.0</v>
      </c>
      <c r="B194" s="16" t="s">
        <v>2515</v>
      </c>
      <c r="C194" s="16" t="str">
        <f t="shared" si="1"/>
        <v>Ciudad De M√Âxico</v>
      </c>
      <c r="D194" s="16" t="str">
        <f t="shared" si="2"/>
        <v>Ciudad De M√Âxico</v>
      </c>
      <c r="E194" s="16" t="str">
        <f t="shared" si="3"/>
        <v>Ciudad De M√Âxico</v>
      </c>
      <c r="F194" s="16" t="s">
        <v>272</v>
      </c>
      <c r="G194" s="17" t="str">
        <f>IFERROR(__xludf.DUMMYFUNCTION("SPLIT(F194:F1193,""-"") "),"Teléfono")</f>
        <v>Teléfono</v>
      </c>
      <c r="H194" s="16" t="str">
        <f>IFERROR(__xludf.DUMMYFUNCTION("""COMPUTED_VALUE"""),"Gama baja")</f>
        <v>Gama baja</v>
      </c>
      <c r="I194" s="16" t="str">
        <f>IFERROR(__xludf.DUMMYFUNCTION("""COMPUTED_VALUE"""),"32GB")</f>
        <v>32GB</v>
      </c>
      <c r="J194" s="18">
        <v>1988.0</v>
      </c>
      <c r="K194" s="16">
        <v>2.0</v>
      </c>
      <c r="L194" s="18">
        <v>3976.0</v>
      </c>
      <c r="M194" s="16" t="s">
        <v>514</v>
      </c>
      <c r="N194" s="16" t="s">
        <v>515</v>
      </c>
      <c r="O194" s="16" t="s">
        <v>516</v>
      </c>
    </row>
    <row r="195" ht="15.75" customHeight="1">
      <c r="A195" s="19">
        <v>45653.0</v>
      </c>
      <c r="B195" s="16" t="s">
        <v>75</v>
      </c>
      <c r="C195" s="16" t="str">
        <f t="shared" si="1"/>
        <v>Cali</v>
      </c>
      <c r="D195" s="16" t="str">
        <f t="shared" si="2"/>
        <v>Cali</v>
      </c>
      <c r="E195" s="16" t="str">
        <f t="shared" si="3"/>
        <v>Cali</v>
      </c>
      <c r="F195" s="16" t="s">
        <v>430</v>
      </c>
      <c r="G195" s="17" t="str">
        <f>IFERROR(__xludf.DUMMYFUNCTION("SPLIT(F195:F1194,""-"") "),"Teléfono")</f>
        <v>Teléfono</v>
      </c>
      <c r="H195" s="16" t="str">
        <f>IFERROR(__xludf.DUMMYFUNCTION("""COMPUTED_VALUE"""),"Gama alta")</f>
        <v>Gama alta</v>
      </c>
      <c r="I195" s="16" t="str">
        <f>IFERROR(__xludf.DUMMYFUNCTION("""COMPUTED_VALUE"""),"4GB")</f>
        <v>4GB</v>
      </c>
      <c r="J195" s="18">
        <v>1923.56</v>
      </c>
      <c r="K195" s="16">
        <v>4.0</v>
      </c>
      <c r="L195" s="18">
        <v>7694.24</v>
      </c>
      <c r="M195" s="16" t="s">
        <v>2216</v>
      </c>
      <c r="N195" s="16" t="s">
        <v>2217</v>
      </c>
      <c r="O195" s="16" t="s">
        <v>2218</v>
      </c>
    </row>
    <row r="196" ht="15.75" customHeight="1">
      <c r="A196" s="19">
        <v>45605.0</v>
      </c>
      <c r="B196" s="16" t="s">
        <v>2516</v>
      </c>
      <c r="C196" s="16" t="str">
        <f t="shared" si="1"/>
        <v>Medell√Çn</v>
      </c>
      <c r="D196" s="16" t="str">
        <f t="shared" si="2"/>
        <v>Medell√Çn</v>
      </c>
      <c r="E196" s="16" t="str">
        <f t="shared" si="3"/>
        <v>Medell√Çn</v>
      </c>
      <c r="F196" s="16" t="s">
        <v>389</v>
      </c>
      <c r="G196" s="17" t="str">
        <f>IFERROR(__xludf.DUMMYFUNCTION("SPLIT(F196:F1195,""-"") "),"Auriculares")</f>
        <v>Auriculares</v>
      </c>
      <c r="H196" s="16" t="str">
        <f>IFERROR(__xludf.DUMMYFUNCTION("""COMPUTED_VALUE"""),"Cancelación de ruido")</f>
        <v>Cancelación de ruido</v>
      </c>
      <c r="I196" s="16" t="str">
        <f>IFERROR(__xludf.DUMMYFUNCTION("""COMPUTED_VALUE"""),"4GB")</f>
        <v>4GB</v>
      </c>
      <c r="J196" s="18">
        <v>1112.81</v>
      </c>
      <c r="K196" s="16">
        <v>1.0</v>
      </c>
      <c r="L196" s="18">
        <v>1112.81</v>
      </c>
      <c r="M196" s="16" t="s">
        <v>906</v>
      </c>
      <c r="N196" s="16" t="s">
        <v>907</v>
      </c>
      <c r="O196" s="16" t="s">
        <v>908</v>
      </c>
    </row>
    <row r="197" ht="15.75" customHeight="1">
      <c r="A197" s="15">
        <v>45630.0</v>
      </c>
      <c r="B197" s="16" t="s">
        <v>58</v>
      </c>
      <c r="C197" s="16" t="str">
        <f t="shared" si="1"/>
        <v>Guadalajara</v>
      </c>
      <c r="D197" s="16" t="str">
        <f t="shared" si="2"/>
        <v>Guadalajara</v>
      </c>
      <c r="E197" s="16" t="str">
        <f t="shared" si="3"/>
        <v>Guadalajara</v>
      </c>
      <c r="F197" s="16" t="s">
        <v>369</v>
      </c>
      <c r="G197" s="17" t="str">
        <f>IFERROR(__xludf.DUMMYFUNCTION("SPLIT(F197:F1196,""-"") "),"Auriculares")</f>
        <v>Auriculares</v>
      </c>
      <c r="H197" s="16" t="str">
        <f>IFERROR(__xludf.DUMMYFUNCTION("""COMPUTED_VALUE"""),"Con cable")</f>
        <v>Con cable</v>
      </c>
      <c r="I197" s="16" t="str">
        <f>IFERROR(__xludf.DUMMYFUNCTION("""COMPUTED_VALUE"""),"4GB")</f>
        <v>4GB</v>
      </c>
      <c r="J197" s="18">
        <v>2281.58</v>
      </c>
      <c r="K197" s="16">
        <v>1.0</v>
      </c>
      <c r="L197" s="18">
        <v>2281.58</v>
      </c>
      <c r="M197" s="16" t="s">
        <v>1667</v>
      </c>
      <c r="N197" s="16" t="s">
        <v>1668</v>
      </c>
      <c r="O197" s="16" t="s">
        <v>1669</v>
      </c>
    </row>
    <row r="198" ht="15.75" customHeight="1">
      <c r="A198" s="19">
        <v>45577.0</v>
      </c>
      <c r="B198" s="16" t="s">
        <v>2359</v>
      </c>
      <c r="C198" s="16" t="str">
        <f t="shared" si="1"/>
        <v>Ciudad De M√©Xico</v>
      </c>
      <c r="D198" s="16" t="str">
        <f t="shared" si="2"/>
        <v>Ciudad De M√©Xico</v>
      </c>
      <c r="E198" s="16" t="str">
        <f t="shared" si="3"/>
        <v>Ciudad De MéXico</v>
      </c>
      <c r="F198" s="16" t="s">
        <v>153</v>
      </c>
      <c r="G198" s="17" t="str">
        <f>IFERROR(__xludf.DUMMYFUNCTION("SPLIT(F198:F1197,""-"") "),"Laptop")</f>
        <v>Laptop</v>
      </c>
      <c r="H198" s="16" t="str">
        <f>IFERROR(__xludf.DUMMYFUNCTION("""COMPUTED_VALUE"""),"Gaming")</f>
        <v>Gaming</v>
      </c>
      <c r="I198" s="16" t="str">
        <f>IFERROR(__xludf.DUMMYFUNCTION("""COMPUTED_VALUE"""),"8GB")</f>
        <v>8GB</v>
      </c>
      <c r="J198" s="18">
        <v>2095.66</v>
      </c>
      <c r="K198" s="16">
        <v>5.0</v>
      </c>
      <c r="L198" s="18">
        <v>10478.3</v>
      </c>
      <c r="M198" s="16" t="s">
        <v>154</v>
      </c>
      <c r="N198" s="16" t="s">
        <v>155</v>
      </c>
      <c r="O198" s="16" t="s">
        <v>156</v>
      </c>
    </row>
    <row r="199" ht="15.75" customHeight="1">
      <c r="A199" s="15">
        <v>45610.0</v>
      </c>
      <c r="B199" s="16" t="s">
        <v>58</v>
      </c>
      <c r="C199" s="16" t="str">
        <f t="shared" si="1"/>
        <v>Guadalajara</v>
      </c>
      <c r="D199" s="16" t="str">
        <f t="shared" si="2"/>
        <v>Guadalajara</v>
      </c>
      <c r="E199" s="16" t="str">
        <f t="shared" si="3"/>
        <v>Guadalajara</v>
      </c>
      <c r="F199" s="16" t="s">
        <v>319</v>
      </c>
      <c r="G199" s="17" t="str">
        <f>IFERROR(__xludf.DUMMYFUNCTION("SPLIT(F199:F1198,""-"") "),"Tablet")</f>
        <v>Tablet</v>
      </c>
      <c r="H199" s="16" t="str">
        <f>IFERROR(__xludf.DUMMYFUNCTION("""COMPUTED_VALUE"""),"Pro")</f>
        <v>Pro</v>
      </c>
      <c r="I199" s="16" t="str">
        <f>IFERROR(__xludf.DUMMYFUNCTION("""COMPUTED_VALUE"""),"32GB")</f>
        <v>32GB</v>
      </c>
      <c r="J199" s="18">
        <v>2064.2</v>
      </c>
      <c r="K199" s="16">
        <v>1.0</v>
      </c>
      <c r="L199" s="18">
        <v>2064.2</v>
      </c>
      <c r="M199" s="16" t="s">
        <v>1072</v>
      </c>
      <c r="N199" s="16" t="s">
        <v>1073</v>
      </c>
      <c r="O199" s="16" t="s">
        <v>1074</v>
      </c>
    </row>
    <row r="200" ht="15.75" customHeight="1">
      <c r="A200" s="19">
        <v>45632.0</v>
      </c>
      <c r="B200" s="16" t="s">
        <v>35</v>
      </c>
      <c r="C200" s="16" t="str">
        <f t="shared" si="1"/>
        <v>Medellín</v>
      </c>
      <c r="D200" s="16" t="str">
        <f t="shared" si="2"/>
        <v>Medellín</v>
      </c>
      <c r="E200" s="16" t="str">
        <f t="shared" si="3"/>
        <v>Medellín</v>
      </c>
      <c r="F200" s="16" t="s">
        <v>315</v>
      </c>
      <c r="G200" s="17" t="str">
        <f>IFERROR(__xludf.DUMMYFUNCTION("SPLIT(F200:F1199,""-"") "),"Teléfono")</f>
        <v>Teléfono</v>
      </c>
      <c r="H200" s="16" t="str">
        <f>IFERROR(__xludf.DUMMYFUNCTION("""COMPUTED_VALUE"""),"Gama baja")</f>
        <v>Gama baja</v>
      </c>
      <c r="I200" s="16" t="str">
        <f>IFERROR(__xludf.DUMMYFUNCTION("""COMPUTED_VALUE"""),"8GB")</f>
        <v>8GB</v>
      </c>
      <c r="J200" s="18">
        <v>1143.24</v>
      </c>
      <c r="K200" s="16">
        <v>2.0</v>
      </c>
      <c r="L200" s="18">
        <v>2286.48</v>
      </c>
      <c r="M200" s="16" t="s">
        <v>1691</v>
      </c>
      <c r="N200" s="16" t="s">
        <v>1692</v>
      </c>
      <c r="O200" s="16" t="s">
        <v>1693</v>
      </c>
    </row>
    <row r="201" ht="15.75" customHeight="1">
      <c r="A201" s="15">
        <v>45608.0</v>
      </c>
      <c r="B201" s="16" t="s">
        <v>999</v>
      </c>
      <c r="C201" s="16" t="str">
        <f t="shared" si="1"/>
        <v>Bogotá. </v>
      </c>
      <c r="D201" s="16" t="str">
        <f t="shared" si="2"/>
        <v>Bogotá.</v>
      </c>
      <c r="E201" s="16" t="str">
        <f t="shared" si="3"/>
        <v>Bogotá.</v>
      </c>
      <c r="F201" s="16" t="s">
        <v>163</v>
      </c>
      <c r="G201" s="17" t="str">
        <f>IFERROR(__xludf.DUMMYFUNCTION("SPLIT(F201:F1200,""-"") "),"Laptop")</f>
        <v>Laptop</v>
      </c>
      <c r="H201" s="16" t="str">
        <f>IFERROR(__xludf.DUMMYFUNCTION("""COMPUTED_VALUE"""),"Oficina")</f>
        <v>Oficina</v>
      </c>
      <c r="I201" s="16" t="str">
        <f>IFERROR(__xludf.DUMMYFUNCTION("""COMPUTED_VALUE"""),"32GB")</f>
        <v>32GB</v>
      </c>
      <c r="J201" s="18">
        <v>2333.72</v>
      </c>
      <c r="K201" s="16">
        <v>2.0</v>
      </c>
      <c r="L201" s="18">
        <v>4667.44</v>
      </c>
      <c r="M201" s="16" t="s">
        <v>1000</v>
      </c>
      <c r="N201" s="16" t="s">
        <v>1001</v>
      </c>
      <c r="O201" s="16" t="s">
        <v>1002</v>
      </c>
    </row>
    <row r="202" ht="15.75" customHeight="1">
      <c r="A202" s="19">
        <v>45593.0</v>
      </c>
      <c r="B202" s="16" t="s">
        <v>58</v>
      </c>
      <c r="C202" s="16" t="str">
        <f t="shared" si="1"/>
        <v>Guadalajara</v>
      </c>
      <c r="D202" s="16" t="str">
        <f t="shared" si="2"/>
        <v>Guadalajara</v>
      </c>
      <c r="E202" s="16" t="str">
        <f t="shared" si="3"/>
        <v>Guadalajara</v>
      </c>
      <c r="F202" s="16" t="s">
        <v>430</v>
      </c>
      <c r="G202" s="17" t="str">
        <f>IFERROR(__xludf.DUMMYFUNCTION("SPLIT(F202:F1201,""-"") "),"Teléfono")</f>
        <v>Teléfono</v>
      </c>
      <c r="H202" s="16" t="str">
        <f>IFERROR(__xludf.DUMMYFUNCTION("""COMPUTED_VALUE"""),"Gama alta")</f>
        <v>Gama alta</v>
      </c>
      <c r="I202" s="16" t="str">
        <f>IFERROR(__xludf.DUMMYFUNCTION("""COMPUTED_VALUE"""),"4GB")</f>
        <v>4GB</v>
      </c>
      <c r="J202" s="18">
        <v>1537.12</v>
      </c>
      <c r="K202" s="16">
        <v>2.0</v>
      </c>
      <c r="L202" s="18">
        <v>3074.24</v>
      </c>
      <c r="M202" s="16" t="s">
        <v>697</v>
      </c>
      <c r="N202" s="16" t="s">
        <v>698</v>
      </c>
      <c r="O202" s="16" t="s">
        <v>699</v>
      </c>
    </row>
    <row r="203" ht="15.75" customHeight="1">
      <c r="A203" s="15">
        <v>45585.0</v>
      </c>
      <c r="B203" s="16" t="s">
        <v>75</v>
      </c>
      <c r="C203" s="16" t="str">
        <f t="shared" si="1"/>
        <v>Cali</v>
      </c>
      <c r="D203" s="16" t="str">
        <f t="shared" si="2"/>
        <v>Cali</v>
      </c>
      <c r="E203" s="16" t="str">
        <f t="shared" si="3"/>
        <v>Cali</v>
      </c>
      <c r="F203" s="16" t="s">
        <v>132</v>
      </c>
      <c r="G203" s="17" t="str">
        <f>IFERROR(__xludf.DUMMYFUNCTION("SPLIT(F203:F1202,""-"") "),"Tablet")</f>
        <v>Tablet</v>
      </c>
      <c r="H203" s="16" t="str">
        <f>IFERROR(__xludf.DUMMYFUNCTION("""COMPUTED_VALUE"""),"Pro")</f>
        <v>Pro</v>
      </c>
      <c r="I203" s="16" t="str">
        <f>IFERROR(__xludf.DUMMYFUNCTION("""COMPUTED_VALUE"""),"8GB")</f>
        <v>8GB</v>
      </c>
      <c r="J203" s="18">
        <v>2224.57</v>
      </c>
      <c r="K203" s="16">
        <v>5.0</v>
      </c>
      <c r="L203" s="18">
        <v>11122.85</v>
      </c>
      <c r="M203" s="16" t="s">
        <v>467</v>
      </c>
      <c r="N203" s="16" t="s">
        <v>468</v>
      </c>
      <c r="O203" s="16" t="s">
        <v>469</v>
      </c>
    </row>
    <row r="204" ht="15.75" customHeight="1">
      <c r="A204" s="19">
        <v>45598.0</v>
      </c>
      <c r="B204" s="16" t="s">
        <v>58</v>
      </c>
      <c r="C204" s="16" t="str">
        <f t="shared" si="1"/>
        <v>Guadalajara</v>
      </c>
      <c r="D204" s="16" t="str">
        <f t="shared" si="2"/>
        <v>Guadalajara</v>
      </c>
      <c r="E204" s="16" t="str">
        <f t="shared" si="3"/>
        <v>Guadalajara</v>
      </c>
      <c r="F204" s="16" t="s">
        <v>59</v>
      </c>
      <c r="G204" s="17" t="str">
        <f>IFERROR(__xludf.DUMMYFUNCTION("SPLIT(F204:F1203,""-"") "),"Auriculares")</f>
        <v>Auriculares</v>
      </c>
      <c r="H204" s="16" t="str">
        <f>IFERROR(__xludf.DUMMYFUNCTION("""COMPUTED_VALUE"""),"Bluetooth")</f>
        <v>Bluetooth</v>
      </c>
      <c r="I204" s="16" t="str">
        <f>IFERROR(__xludf.DUMMYFUNCTION("""COMPUTED_VALUE"""),"4GB")</f>
        <v>4GB</v>
      </c>
      <c r="J204" s="18">
        <v>1688.92</v>
      </c>
      <c r="K204" s="16">
        <v>5.0</v>
      </c>
      <c r="L204" s="18">
        <v>8444.6</v>
      </c>
      <c r="M204" s="16" t="s">
        <v>821</v>
      </c>
      <c r="N204" s="16" t="s">
        <v>822</v>
      </c>
      <c r="O204" s="16" t="s">
        <v>823</v>
      </c>
    </row>
    <row r="205" ht="15.75" customHeight="1">
      <c r="A205" s="19">
        <v>45645.0</v>
      </c>
      <c r="B205" s="16" t="s">
        <v>14</v>
      </c>
      <c r="C205" s="16" t="str">
        <f t="shared" si="1"/>
        <v>Bogotá</v>
      </c>
      <c r="D205" s="16" t="str">
        <f t="shared" si="2"/>
        <v>Bogotá</v>
      </c>
      <c r="E205" s="16" t="str">
        <f t="shared" si="3"/>
        <v>Bogotá</v>
      </c>
      <c r="F205" s="16" t="s">
        <v>190</v>
      </c>
      <c r="G205" s="17" t="str">
        <f>IFERROR(__xludf.DUMMYFUNCTION("SPLIT(F205:F1204,""-"") "),"Laptop")</f>
        <v>Laptop</v>
      </c>
      <c r="H205" s="16" t="str">
        <f>IFERROR(__xludf.DUMMYFUNCTION("""COMPUTED_VALUE"""),"Ultraliviana")</f>
        <v>Ultraliviana</v>
      </c>
      <c r="I205" s="16" t="str">
        <f>IFERROR(__xludf.DUMMYFUNCTION("""COMPUTED_VALUE"""),"16GB")</f>
        <v>16GB</v>
      </c>
      <c r="J205" s="18">
        <v>1575.85</v>
      </c>
      <c r="K205" s="16">
        <v>2.0</v>
      </c>
      <c r="L205" s="18">
        <v>3151.7</v>
      </c>
      <c r="M205" s="16" t="s">
        <v>1975</v>
      </c>
      <c r="N205" s="16" t="s">
        <v>1976</v>
      </c>
      <c r="O205" s="16" t="s">
        <v>1977</v>
      </c>
    </row>
    <row r="206" ht="15.75" customHeight="1">
      <c r="A206" s="15">
        <v>45595.0</v>
      </c>
      <c r="B206" s="16" t="s">
        <v>35</v>
      </c>
      <c r="C206" s="16" t="str">
        <f t="shared" si="1"/>
        <v>Medellín</v>
      </c>
      <c r="D206" s="16" t="str">
        <f t="shared" si="2"/>
        <v>Medellín</v>
      </c>
      <c r="E206" s="16" t="str">
        <f t="shared" si="3"/>
        <v>Medellín</v>
      </c>
      <c r="F206" s="16" t="s">
        <v>255</v>
      </c>
      <c r="G206" s="17" t="str">
        <f>IFERROR(__xludf.DUMMYFUNCTION("SPLIT(F206:F1205,""-"") "),"Auriculares")</f>
        <v>Auriculares</v>
      </c>
      <c r="H206" s="16" t="str">
        <f>IFERROR(__xludf.DUMMYFUNCTION("""COMPUTED_VALUE"""),"Bluetooth")</f>
        <v>Bluetooth</v>
      </c>
      <c r="I206" s="16" t="str">
        <f>IFERROR(__xludf.DUMMYFUNCTION("""COMPUTED_VALUE"""),"8GB")</f>
        <v>8GB</v>
      </c>
      <c r="J206" s="18">
        <v>1861.0</v>
      </c>
      <c r="K206" s="16">
        <v>5.0</v>
      </c>
      <c r="L206" s="18">
        <v>9305.0</v>
      </c>
      <c r="M206" s="16" t="s">
        <v>775</v>
      </c>
      <c r="N206" s="16" t="s">
        <v>776</v>
      </c>
      <c r="O206" s="16" t="s">
        <v>777</v>
      </c>
    </row>
    <row r="207" ht="15.75" customHeight="1">
      <c r="A207" s="19">
        <v>45572.0</v>
      </c>
      <c r="B207" s="16" t="s">
        <v>58</v>
      </c>
      <c r="C207" s="16" t="str">
        <f t="shared" si="1"/>
        <v>Guadalajara</v>
      </c>
      <c r="D207" s="16" t="str">
        <f t="shared" si="2"/>
        <v>Guadalajara</v>
      </c>
      <c r="E207" s="16" t="str">
        <f t="shared" si="3"/>
        <v>Guadalajara</v>
      </c>
      <c r="F207" s="16" t="s">
        <v>59</v>
      </c>
      <c r="G207" s="17" t="str">
        <f>IFERROR(__xludf.DUMMYFUNCTION("SPLIT(F207:F1206,""-"") "),"Auriculares")</f>
        <v>Auriculares</v>
      </c>
      <c r="H207" s="16" t="str">
        <f>IFERROR(__xludf.DUMMYFUNCTION("""COMPUTED_VALUE"""),"Bluetooth")</f>
        <v>Bluetooth</v>
      </c>
      <c r="I207" s="16" t="str">
        <f>IFERROR(__xludf.DUMMYFUNCTION("""COMPUTED_VALUE"""),"4GB")</f>
        <v>4GB</v>
      </c>
      <c r="J207" s="18">
        <v>62.73</v>
      </c>
      <c r="K207" s="16">
        <v>3.0</v>
      </c>
      <c r="L207" s="18">
        <v>188.19</v>
      </c>
      <c r="M207" s="16" t="s">
        <v>60</v>
      </c>
      <c r="N207" s="16" t="s">
        <v>61</v>
      </c>
      <c r="O207" s="16" t="s">
        <v>62</v>
      </c>
    </row>
    <row r="208" ht="15.75" customHeight="1">
      <c r="A208" s="15">
        <v>45637.0</v>
      </c>
      <c r="B208" s="16" t="s">
        <v>35</v>
      </c>
      <c r="C208" s="16" t="str">
        <f t="shared" si="1"/>
        <v>Medellín</v>
      </c>
      <c r="D208" s="16" t="str">
        <f t="shared" si="2"/>
        <v>Medellín</v>
      </c>
      <c r="E208" s="16" t="str">
        <f t="shared" si="3"/>
        <v>Medellín</v>
      </c>
      <c r="F208" s="16" t="s">
        <v>76</v>
      </c>
      <c r="G208" s="17" t="str">
        <f>IFERROR(__xludf.DUMMYFUNCTION("SPLIT(F208:F1207,""-"") "),"Tablet")</f>
        <v>Tablet</v>
      </c>
      <c r="H208" s="16" t="str">
        <f>IFERROR(__xludf.DUMMYFUNCTION("""COMPUTED_VALUE"""),"Mini")</f>
        <v>Mini</v>
      </c>
      <c r="I208" s="16" t="str">
        <f>IFERROR(__xludf.DUMMYFUNCTION("""COMPUTED_VALUE"""),"32GB")</f>
        <v>32GB</v>
      </c>
      <c r="J208" s="18">
        <v>1332.48</v>
      </c>
      <c r="K208" s="16">
        <v>5.0</v>
      </c>
      <c r="L208" s="18">
        <v>6662.4</v>
      </c>
      <c r="M208" s="16" t="s">
        <v>1763</v>
      </c>
      <c r="N208" s="16" t="s">
        <v>1764</v>
      </c>
      <c r="O208" s="16" t="s">
        <v>1765</v>
      </c>
    </row>
    <row r="209" ht="15.75" customHeight="1">
      <c r="A209" s="19">
        <v>45643.0</v>
      </c>
      <c r="B209" s="16" t="s">
        <v>75</v>
      </c>
      <c r="C209" s="16" t="str">
        <f t="shared" si="1"/>
        <v>Cali</v>
      </c>
      <c r="D209" s="16" t="str">
        <f t="shared" si="2"/>
        <v>Cali</v>
      </c>
      <c r="E209" s="16" t="str">
        <f t="shared" si="3"/>
        <v>Cali</v>
      </c>
      <c r="F209" s="16" t="s">
        <v>666</v>
      </c>
      <c r="G209" s="17" t="str">
        <f>IFERROR(__xludf.DUMMYFUNCTION("SPLIT(F209:F1208,""-"") "),"Auriculares")</f>
        <v>Auriculares</v>
      </c>
      <c r="H209" s="16" t="str">
        <f>IFERROR(__xludf.DUMMYFUNCTION("""COMPUTED_VALUE"""),"Cancelación de ruido")</f>
        <v>Cancelación de ruido</v>
      </c>
      <c r="I209" s="16" t="str">
        <f>IFERROR(__xludf.DUMMYFUNCTION("""COMPUTED_VALUE"""),"32GB")</f>
        <v>32GB</v>
      </c>
      <c r="J209" s="18">
        <v>1771.25</v>
      </c>
      <c r="K209" s="16">
        <v>4.0</v>
      </c>
      <c r="L209" s="18">
        <v>7085.0</v>
      </c>
      <c r="M209" s="16" t="s">
        <v>1912</v>
      </c>
      <c r="N209" s="16" t="s">
        <v>1913</v>
      </c>
      <c r="O209" s="16" t="s">
        <v>1914</v>
      </c>
    </row>
    <row r="210" ht="15.75" customHeight="1">
      <c r="A210" s="15">
        <v>45623.0</v>
      </c>
      <c r="B210" s="16" t="s">
        <v>9</v>
      </c>
      <c r="C210" s="16" t="str">
        <f t="shared" si="1"/>
        <v>Monterrey</v>
      </c>
      <c r="D210" s="16" t="str">
        <f t="shared" si="2"/>
        <v>Monterrey</v>
      </c>
      <c r="E210" s="16" t="str">
        <f t="shared" si="3"/>
        <v>Monterrey</v>
      </c>
      <c r="F210" s="16" t="s">
        <v>399</v>
      </c>
      <c r="G210" s="17" t="str">
        <f>IFERROR(__xludf.DUMMYFUNCTION("SPLIT(F210:F1209,""-"") "),"Laptop")</f>
        <v>Laptop</v>
      </c>
      <c r="H210" s="16" t="str">
        <f>IFERROR(__xludf.DUMMYFUNCTION("""COMPUTED_VALUE"""),"Gaming")</f>
        <v>Gaming</v>
      </c>
      <c r="I210" s="16" t="str">
        <f>IFERROR(__xludf.DUMMYFUNCTION("""COMPUTED_VALUE"""),"4GB")</f>
        <v>4GB</v>
      </c>
      <c r="J210" s="18">
        <v>788.6</v>
      </c>
      <c r="K210" s="16">
        <v>4.0</v>
      </c>
      <c r="L210" s="18">
        <v>3154.4</v>
      </c>
      <c r="M210" s="16" t="s">
        <v>1535</v>
      </c>
      <c r="N210" s="16" t="s">
        <v>1536</v>
      </c>
      <c r="O210" s="16" t="s">
        <v>1537</v>
      </c>
    </row>
    <row r="211" ht="15.75" customHeight="1">
      <c r="A211" s="19">
        <v>45576.0</v>
      </c>
      <c r="B211" s="16" t="s">
        <v>35</v>
      </c>
      <c r="C211" s="16" t="str">
        <f t="shared" si="1"/>
        <v>Medellín</v>
      </c>
      <c r="D211" s="16" t="str">
        <f t="shared" si="2"/>
        <v>Medellín</v>
      </c>
      <c r="E211" s="16" t="str">
        <f t="shared" si="3"/>
        <v>Medellín</v>
      </c>
      <c r="F211" s="16" t="s">
        <v>23</v>
      </c>
      <c r="G211" s="17" t="str">
        <f>IFERROR(__xludf.DUMMYFUNCTION("SPLIT(F211:F1210,""-"") "),"Tablet")</f>
        <v>Tablet</v>
      </c>
      <c r="H211" s="16" t="str">
        <f>IFERROR(__xludf.DUMMYFUNCTION("""COMPUTED_VALUE"""),"Estándar")</f>
        <v>Estándar</v>
      </c>
      <c r="I211" s="16" t="str">
        <f>IFERROR(__xludf.DUMMYFUNCTION("""COMPUTED_VALUE"""),"16GB")</f>
        <v>16GB</v>
      </c>
      <c r="J211" s="18">
        <v>591.94</v>
      </c>
      <c r="K211" s="16">
        <v>2.0</v>
      </c>
      <c r="L211" s="18">
        <v>1183.88</v>
      </c>
      <c r="M211" s="16" t="s">
        <v>107</v>
      </c>
      <c r="N211" s="16" t="s">
        <v>108</v>
      </c>
      <c r="O211" s="16" t="s">
        <v>109</v>
      </c>
    </row>
    <row r="212" ht="15.75" customHeight="1">
      <c r="A212" s="15">
        <v>45627.0</v>
      </c>
      <c r="B212" s="16" t="s">
        <v>14</v>
      </c>
      <c r="C212" s="16" t="str">
        <f t="shared" si="1"/>
        <v>Bogotá</v>
      </c>
      <c r="D212" s="16" t="str">
        <f t="shared" si="2"/>
        <v>Bogotá</v>
      </c>
      <c r="E212" s="16" t="str">
        <f t="shared" si="3"/>
        <v>Bogotá</v>
      </c>
      <c r="F212" s="16" t="s">
        <v>186</v>
      </c>
      <c r="G212" s="17" t="str">
        <f>IFERROR(__xludf.DUMMYFUNCTION("SPLIT(F212:F1211,""-"") "),"Auriculares")</f>
        <v>Auriculares</v>
      </c>
      <c r="H212" s="16" t="str">
        <f>IFERROR(__xludf.DUMMYFUNCTION("""COMPUTED_VALUE"""),"Cancelaci√≥n de ruido")</f>
        <v>Cancelaci√≥n de ruido</v>
      </c>
      <c r="I212" s="16" t="str">
        <f>IFERROR(__xludf.DUMMYFUNCTION("""COMPUTED_VALUE"""),"16GB")</f>
        <v>16GB</v>
      </c>
      <c r="J212" s="18">
        <v>2060.35</v>
      </c>
      <c r="K212" s="16">
        <v>3.0</v>
      </c>
      <c r="L212" s="18">
        <v>6181.05</v>
      </c>
      <c r="M212" s="16" t="s">
        <v>1643</v>
      </c>
      <c r="N212" s="16" t="s">
        <v>1644</v>
      </c>
      <c r="O212" s="16" t="s">
        <v>1645</v>
      </c>
    </row>
    <row r="213" ht="15.75" customHeight="1">
      <c r="A213" s="19">
        <v>45622.0</v>
      </c>
      <c r="B213" s="16" t="s">
        <v>35</v>
      </c>
      <c r="C213" s="16" t="str">
        <f t="shared" si="1"/>
        <v>Medellín</v>
      </c>
      <c r="D213" s="16" t="str">
        <f t="shared" si="2"/>
        <v>Medellín</v>
      </c>
      <c r="E213" s="16" t="str">
        <f t="shared" si="3"/>
        <v>Medellín</v>
      </c>
      <c r="F213" s="16" t="s">
        <v>182</v>
      </c>
      <c r="G213" s="17" t="str">
        <f>IFERROR(__xludf.DUMMYFUNCTION("SPLIT(F213:F1212,""-"") "),"Tablet")</f>
        <v>Tablet</v>
      </c>
      <c r="H213" s="16" t="str">
        <f>IFERROR(__xludf.DUMMYFUNCTION("""COMPUTED_VALUE"""),"Mini")</f>
        <v>Mini</v>
      </c>
      <c r="I213" s="16" t="str">
        <f>IFERROR(__xludf.DUMMYFUNCTION("""COMPUTED_VALUE"""),"4GB")</f>
        <v>4GB</v>
      </c>
      <c r="J213" s="18">
        <v>324.09</v>
      </c>
      <c r="K213" s="16">
        <v>2.0</v>
      </c>
      <c r="L213" s="18">
        <v>648.18</v>
      </c>
      <c r="M213" s="16" t="s">
        <v>1508</v>
      </c>
      <c r="N213" s="16" t="s">
        <v>1509</v>
      </c>
      <c r="O213" s="16" t="s">
        <v>1510</v>
      </c>
    </row>
    <row r="214" ht="15.75" customHeight="1">
      <c r="A214" s="15">
        <v>45574.0</v>
      </c>
      <c r="B214" s="16" t="s">
        <v>75</v>
      </c>
      <c r="C214" s="16" t="str">
        <f t="shared" si="1"/>
        <v>Cali</v>
      </c>
      <c r="D214" s="16" t="str">
        <f t="shared" si="2"/>
        <v>Cali</v>
      </c>
      <c r="E214" s="16" t="str">
        <f t="shared" si="3"/>
        <v>Cali</v>
      </c>
      <c r="F214" s="16" t="s">
        <v>76</v>
      </c>
      <c r="G214" s="17" t="str">
        <f>IFERROR(__xludf.DUMMYFUNCTION("SPLIT(F214:F1213,""-"") "),"Tablet")</f>
        <v>Tablet</v>
      </c>
      <c r="H214" s="16" t="str">
        <f>IFERROR(__xludf.DUMMYFUNCTION("""COMPUTED_VALUE"""),"Mini")</f>
        <v>Mini</v>
      </c>
      <c r="I214" s="16" t="str">
        <f>IFERROR(__xludf.DUMMYFUNCTION("""COMPUTED_VALUE"""),"32GB")</f>
        <v>32GB</v>
      </c>
      <c r="J214" s="18">
        <v>525.13</v>
      </c>
      <c r="K214" s="16">
        <v>2.0</v>
      </c>
      <c r="L214" s="18">
        <v>1050.26</v>
      </c>
      <c r="M214" s="16" t="s">
        <v>77</v>
      </c>
      <c r="N214" s="16" t="s">
        <v>78</v>
      </c>
      <c r="O214" s="16" t="s">
        <v>79</v>
      </c>
    </row>
    <row r="215" ht="15.75" customHeight="1">
      <c r="A215" s="15">
        <v>45635.0</v>
      </c>
      <c r="B215" s="16" t="s">
        <v>58</v>
      </c>
      <c r="C215" s="16" t="str">
        <f t="shared" si="1"/>
        <v>Guadalajara</v>
      </c>
      <c r="D215" s="16" t="str">
        <f t="shared" si="2"/>
        <v>Guadalajara</v>
      </c>
      <c r="E215" s="16" t="str">
        <f t="shared" si="3"/>
        <v>Guadalajara</v>
      </c>
      <c r="F215" s="16" t="s">
        <v>23</v>
      </c>
      <c r="G215" s="17" t="str">
        <f>IFERROR(__xludf.DUMMYFUNCTION("SPLIT(F215:F1214,""-"") "),"Tablet")</f>
        <v>Tablet</v>
      </c>
      <c r="H215" s="16" t="str">
        <f>IFERROR(__xludf.DUMMYFUNCTION("""COMPUTED_VALUE"""),"Estándar")</f>
        <v>Estándar</v>
      </c>
      <c r="I215" s="16" t="str">
        <f>IFERROR(__xludf.DUMMYFUNCTION("""COMPUTED_VALUE"""),"16GB")</f>
        <v>16GB</v>
      </c>
      <c r="J215" s="18">
        <v>787.78</v>
      </c>
      <c r="K215" s="16">
        <v>3.0</v>
      </c>
      <c r="L215" s="18">
        <v>2363.34</v>
      </c>
      <c r="M215" s="16" t="s">
        <v>1724</v>
      </c>
      <c r="N215" s="16" t="s">
        <v>1725</v>
      </c>
      <c r="O215" s="16" t="s">
        <v>1726</v>
      </c>
    </row>
    <row r="216" ht="15.75" customHeight="1">
      <c r="A216" s="19">
        <v>45588.0</v>
      </c>
      <c r="B216" s="16" t="s">
        <v>9</v>
      </c>
      <c r="C216" s="16" t="str">
        <f t="shared" si="1"/>
        <v>Monterrey</v>
      </c>
      <c r="D216" s="16" t="str">
        <f t="shared" si="2"/>
        <v>Monterrey</v>
      </c>
      <c r="E216" s="16" t="str">
        <f t="shared" si="3"/>
        <v>Monterrey</v>
      </c>
      <c r="F216" s="16" t="s">
        <v>132</v>
      </c>
      <c r="G216" s="17" t="str">
        <f>IFERROR(__xludf.DUMMYFUNCTION("SPLIT(F216:F1215,""-"") "),"Tablet")</f>
        <v>Tablet</v>
      </c>
      <c r="H216" s="16" t="str">
        <f>IFERROR(__xludf.DUMMYFUNCTION("""COMPUTED_VALUE"""),"Pro")</f>
        <v>Pro</v>
      </c>
      <c r="I216" s="16" t="str">
        <f>IFERROR(__xludf.DUMMYFUNCTION("""COMPUTED_VALUE"""),"8GB")</f>
        <v>8GB</v>
      </c>
      <c r="J216" s="18">
        <v>1242.34</v>
      </c>
      <c r="K216" s="16">
        <v>5.0</v>
      </c>
      <c r="L216" s="18">
        <v>6211.7</v>
      </c>
      <c r="M216" s="16" t="s">
        <v>541</v>
      </c>
      <c r="N216" s="16" t="s">
        <v>542</v>
      </c>
      <c r="O216" s="16" t="s">
        <v>543</v>
      </c>
    </row>
    <row r="217" ht="15.75" customHeight="1">
      <c r="A217" s="19">
        <v>45588.0</v>
      </c>
      <c r="B217" s="16" t="s">
        <v>58</v>
      </c>
      <c r="C217" s="16" t="str">
        <f t="shared" si="1"/>
        <v>Guadalajara</v>
      </c>
      <c r="D217" s="16" t="str">
        <f t="shared" si="2"/>
        <v>Guadalajara</v>
      </c>
      <c r="E217" s="16" t="str">
        <f t="shared" si="3"/>
        <v>Guadalajara</v>
      </c>
      <c r="F217" s="16" t="s">
        <v>399</v>
      </c>
      <c r="G217" s="17" t="str">
        <f>IFERROR(__xludf.DUMMYFUNCTION("SPLIT(F217:F1216,""-"") "),"Laptop")</f>
        <v>Laptop</v>
      </c>
      <c r="H217" s="16" t="str">
        <f>IFERROR(__xludf.DUMMYFUNCTION("""COMPUTED_VALUE"""),"Gaming")</f>
        <v>Gaming</v>
      </c>
      <c r="I217" s="16" t="str">
        <f>IFERROR(__xludf.DUMMYFUNCTION("""COMPUTED_VALUE"""),"4GB")</f>
        <v>4GB</v>
      </c>
      <c r="J217" s="18">
        <v>1657.62</v>
      </c>
      <c r="K217" s="16">
        <v>4.0</v>
      </c>
      <c r="L217" s="18">
        <v>6630.48</v>
      </c>
      <c r="M217" s="16" t="s">
        <v>544</v>
      </c>
      <c r="N217" s="16" t="s">
        <v>545</v>
      </c>
      <c r="O217" s="16" t="s">
        <v>546</v>
      </c>
    </row>
    <row r="218" ht="15.75" customHeight="1">
      <c r="A218" s="23">
        <v>45424.0</v>
      </c>
      <c r="B218" s="16" t="s">
        <v>35</v>
      </c>
      <c r="C218" s="16" t="str">
        <f t="shared" si="1"/>
        <v>Medellín</v>
      </c>
      <c r="D218" s="16" t="str">
        <f t="shared" si="2"/>
        <v>Medellín</v>
      </c>
      <c r="E218" s="16" t="str">
        <f t="shared" si="3"/>
        <v>Medellín</v>
      </c>
      <c r="F218" s="16" t="s">
        <v>2517</v>
      </c>
      <c r="G218" s="17" t="str">
        <f>IFERROR(__xludf.DUMMYFUNCTION("SPLIT(F218:F1217,""-"") "),"Auriculares")</f>
        <v>Auriculares</v>
      </c>
      <c r="H218" s="16" t="str">
        <f>IFERROR(__xludf.DUMMYFUNCTION("""COMPUTED_VALUE"""),"Cancelación de ruido")</f>
        <v>Cancelación de ruido</v>
      </c>
      <c r="I218" s="16" t="str">
        <f>IFERROR(__xludf.DUMMYFUNCTION("""COMPUTED_VALUE"""),"8GB ")</f>
        <v>8GB </v>
      </c>
      <c r="J218" s="18">
        <v>780.24</v>
      </c>
      <c r="K218" s="16">
        <v>3.0</v>
      </c>
      <c r="L218" s="18">
        <v>2340.72</v>
      </c>
      <c r="M218" s="16" t="s">
        <v>2518</v>
      </c>
      <c r="N218" s="16" t="s">
        <v>2519</v>
      </c>
      <c r="O218" s="16" t="s">
        <v>2520</v>
      </c>
    </row>
    <row r="219" ht="15.75" customHeight="1">
      <c r="A219" s="19">
        <v>45593.0</v>
      </c>
      <c r="B219" s="16" t="s">
        <v>2359</v>
      </c>
      <c r="C219" s="16" t="str">
        <f t="shared" si="1"/>
        <v>Ciudad De M√©Xico</v>
      </c>
      <c r="D219" s="16" t="str">
        <f t="shared" si="2"/>
        <v>Ciudad De M√©Xico</v>
      </c>
      <c r="E219" s="16" t="str">
        <f t="shared" si="3"/>
        <v>Ciudad De MéXico</v>
      </c>
      <c r="F219" s="16" t="s">
        <v>23</v>
      </c>
      <c r="G219" s="17" t="str">
        <f>IFERROR(__xludf.DUMMYFUNCTION("SPLIT(F219:F1218,""-"") "),"Tablet")</f>
        <v>Tablet</v>
      </c>
      <c r="H219" s="16" t="str">
        <f>IFERROR(__xludf.DUMMYFUNCTION("""COMPUTED_VALUE"""),"Estándar")</f>
        <v>Estándar</v>
      </c>
      <c r="I219" s="16" t="str">
        <f>IFERROR(__xludf.DUMMYFUNCTION("""COMPUTED_VALUE"""),"16GB")</f>
        <v>16GB</v>
      </c>
      <c r="J219" s="18">
        <v>1832.39</v>
      </c>
      <c r="K219" s="16">
        <v>4.0</v>
      </c>
      <c r="L219" s="18">
        <v>7329.56</v>
      </c>
      <c r="M219" s="16" t="s">
        <v>700</v>
      </c>
      <c r="N219" s="16" t="s">
        <v>701</v>
      </c>
      <c r="O219" s="16" t="s">
        <v>702</v>
      </c>
    </row>
    <row r="220" ht="15.75" customHeight="1">
      <c r="A220" s="19">
        <v>45642.0</v>
      </c>
      <c r="B220" s="16" t="s">
        <v>35</v>
      </c>
      <c r="C220" s="16" t="str">
        <f t="shared" si="1"/>
        <v>Medellín</v>
      </c>
      <c r="D220" s="16" t="str">
        <f t="shared" si="2"/>
        <v>Medellín</v>
      </c>
      <c r="E220" s="16" t="str">
        <f t="shared" si="3"/>
        <v>Medellín</v>
      </c>
      <c r="F220" s="16" t="s">
        <v>292</v>
      </c>
      <c r="G220" s="17" t="str">
        <f>IFERROR(__xludf.DUMMYFUNCTION("SPLIT(F220:F1219,""-"") "),"Teléfono")</f>
        <v>Teléfono</v>
      </c>
      <c r="H220" s="16" t="str">
        <f>IFERROR(__xludf.DUMMYFUNCTION("""COMPUTED_VALUE"""),"Gama alta")</f>
        <v>Gama alta</v>
      </c>
      <c r="I220" s="16" t="str">
        <f>IFERROR(__xludf.DUMMYFUNCTION("""COMPUTED_VALUE"""),"16GB")</f>
        <v>16GB</v>
      </c>
      <c r="J220" s="18">
        <v>205.57</v>
      </c>
      <c r="K220" s="16">
        <v>5.0</v>
      </c>
      <c r="L220" s="18">
        <v>1027.85</v>
      </c>
      <c r="M220" s="16" t="s">
        <v>1885</v>
      </c>
      <c r="N220" s="16" t="s">
        <v>1886</v>
      </c>
      <c r="O220" s="16" t="s">
        <v>1887</v>
      </c>
    </row>
    <row r="221" ht="15.75" customHeight="1">
      <c r="A221" s="19">
        <v>45623.0</v>
      </c>
      <c r="B221" s="16" t="s">
        <v>35</v>
      </c>
      <c r="C221" s="16" t="str">
        <f t="shared" si="1"/>
        <v>Medellín</v>
      </c>
      <c r="D221" s="16" t="str">
        <f t="shared" si="2"/>
        <v>Medellín</v>
      </c>
      <c r="E221" s="16" t="str">
        <f t="shared" si="3"/>
        <v>Medellín</v>
      </c>
      <c r="F221" s="16" t="s">
        <v>85</v>
      </c>
      <c r="G221" s="17" t="str">
        <f>IFERROR(__xludf.DUMMYFUNCTION("SPLIT(F221:F1220,""-"") "),"Teléfono")</f>
        <v>Teléfono</v>
      </c>
      <c r="H221" s="16" t="str">
        <f>IFERROR(__xludf.DUMMYFUNCTION("""COMPUTED_VALUE"""),"Gama media")</f>
        <v>Gama media</v>
      </c>
      <c r="I221" s="16" t="str">
        <f>IFERROR(__xludf.DUMMYFUNCTION("""COMPUTED_VALUE"""),"32GB")</f>
        <v>32GB</v>
      </c>
      <c r="J221" s="18">
        <v>1219.75</v>
      </c>
      <c r="K221" s="16">
        <v>2.0</v>
      </c>
      <c r="L221" s="18">
        <v>2439.5</v>
      </c>
      <c r="M221" s="16" t="s">
        <v>1538</v>
      </c>
      <c r="N221" s="16" t="s">
        <v>1539</v>
      </c>
      <c r="O221" s="16" t="s">
        <v>1540</v>
      </c>
    </row>
    <row r="222" ht="15.75" customHeight="1">
      <c r="A222" s="23">
        <v>45514.0</v>
      </c>
      <c r="B222" s="16" t="s">
        <v>14</v>
      </c>
      <c r="C222" s="16" t="str">
        <f t="shared" si="1"/>
        <v>Bogotá</v>
      </c>
      <c r="D222" s="16" t="str">
        <f t="shared" si="2"/>
        <v>Bogotá</v>
      </c>
      <c r="E222" s="16" t="str">
        <f t="shared" si="3"/>
        <v>Bogotá</v>
      </c>
      <c r="F222" s="16" t="s">
        <v>81</v>
      </c>
      <c r="G222" s="17" t="str">
        <f>IFERROR(__xludf.DUMMYFUNCTION("SPLIT(F222:F1221,""-"") "),"Laptop")</f>
        <v>Laptop</v>
      </c>
      <c r="H222" s="16" t="str">
        <f>IFERROR(__xludf.DUMMYFUNCTION("""COMPUTED_VALUE"""),"Oficina")</f>
        <v>Oficina</v>
      </c>
      <c r="I222" s="16" t="str">
        <f>IFERROR(__xludf.DUMMYFUNCTION("""COMPUTED_VALUE"""),"16GB")</f>
        <v>16GB</v>
      </c>
      <c r="J222" s="18">
        <v>1126.91</v>
      </c>
      <c r="K222" s="16">
        <v>3.0</v>
      </c>
      <c r="L222" s="18">
        <v>3380.73</v>
      </c>
      <c r="M222" s="16" t="s">
        <v>2521</v>
      </c>
      <c r="N222" s="16" t="s">
        <v>2522</v>
      </c>
      <c r="O222" s="16" t="s">
        <v>2523</v>
      </c>
    </row>
    <row r="223" ht="15.75" customHeight="1">
      <c r="A223" s="19">
        <v>45579.0</v>
      </c>
      <c r="B223" s="16" t="s">
        <v>35</v>
      </c>
      <c r="C223" s="16" t="str">
        <f t="shared" si="1"/>
        <v>Medellín</v>
      </c>
      <c r="D223" s="16" t="str">
        <f t="shared" si="2"/>
        <v>Medellín</v>
      </c>
      <c r="E223" s="16" t="str">
        <f t="shared" si="3"/>
        <v>Medellín</v>
      </c>
      <c r="F223" s="16" t="s">
        <v>94</v>
      </c>
      <c r="G223" s="17" t="str">
        <f>IFERROR(__xludf.DUMMYFUNCTION("SPLIT(F223:F1222,""-"") "),"Tablet")</f>
        <v>Tablet</v>
      </c>
      <c r="H223" s="16" t="str">
        <f>IFERROR(__xludf.DUMMYFUNCTION("""COMPUTED_VALUE"""),"Mini")</f>
        <v>Mini</v>
      </c>
      <c r="I223" s="16" t="str">
        <f>IFERROR(__xludf.DUMMYFUNCTION("""COMPUTED_VALUE"""),"8GB")</f>
        <v>8GB</v>
      </c>
      <c r="J223" s="18">
        <v>1950.45</v>
      </c>
      <c r="K223" s="16">
        <v>4.0</v>
      </c>
      <c r="L223" s="18">
        <v>7801.8</v>
      </c>
      <c r="M223" s="16" t="s">
        <v>215</v>
      </c>
      <c r="N223" s="16" t="s">
        <v>216</v>
      </c>
      <c r="O223" s="16" t="s">
        <v>217</v>
      </c>
    </row>
    <row r="224" ht="15.75" customHeight="1">
      <c r="A224" s="23">
        <v>45485.0</v>
      </c>
      <c r="B224" s="16" t="s">
        <v>2359</v>
      </c>
      <c r="C224" s="16" t="str">
        <f t="shared" si="1"/>
        <v>Ciudad De M√©Xico</v>
      </c>
      <c r="D224" s="16" t="str">
        <f t="shared" si="2"/>
        <v>Ciudad De M√©Xico</v>
      </c>
      <c r="E224" s="16" t="str">
        <f t="shared" si="3"/>
        <v>Ciudad De MéXico</v>
      </c>
      <c r="F224" s="16" t="s">
        <v>59</v>
      </c>
      <c r="G224" s="17" t="str">
        <f>IFERROR(__xludf.DUMMYFUNCTION("SPLIT(F224:F1223,""-"") "),"Auriculares")</f>
        <v>Auriculares</v>
      </c>
      <c r="H224" s="16" t="str">
        <f>IFERROR(__xludf.DUMMYFUNCTION("""COMPUTED_VALUE"""),"Bluetooth")</f>
        <v>Bluetooth</v>
      </c>
      <c r="I224" s="16" t="str">
        <f>IFERROR(__xludf.DUMMYFUNCTION("""COMPUTED_VALUE"""),"4GB")</f>
        <v>4GB</v>
      </c>
      <c r="J224" s="18">
        <v>1940.18</v>
      </c>
      <c r="K224" s="16">
        <v>3.0</v>
      </c>
      <c r="L224" s="18">
        <v>5820.54</v>
      </c>
      <c r="M224" s="16" t="s">
        <v>2524</v>
      </c>
      <c r="N224" s="16" t="s">
        <v>2525</v>
      </c>
      <c r="O224" s="16" t="s">
        <v>2526</v>
      </c>
    </row>
    <row r="225" ht="15.75" customHeight="1">
      <c r="A225" s="19">
        <v>45625.0</v>
      </c>
      <c r="B225" s="16" t="s">
        <v>58</v>
      </c>
      <c r="C225" s="16" t="str">
        <f t="shared" si="1"/>
        <v>Guadalajara</v>
      </c>
      <c r="D225" s="16" t="str">
        <f t="shared" si="2"/>
        <v>Guadalajara</v>
      </c>
      <c r="E225" s="16" t="str">
        <f t="shared" si="3"/>
        <v>Guadalajara</v>
      </c>
      <c r="F225" s="16" t="s">
        <v>319</v>
      </c>
      <c r="G225" s="17" t="str">
        <f>IFERROR(__xludf.DUMMYFUNCTION("SPLIT(F225:F1224,""-"") "),"Tablet")</f>
        <v>Tablet</v>
      </c>
      <c r="H225" s="16" t="str">
        <f>IFERROR(__xludf.DUMMYFUNCTION("""COMPUTED_VALUE"""),"Pro")</f>
        <v>Pro</v>
      </c>
      <c r="I225" s="16" t="str">
        <f>IFERROR(__xludf.DUMMYFUNCTION("""COMPUTED_VALUE"""),"32GB")</f>
        <v>32GB</v>
      </c>
      <c r="J225" s="18">
        <v>251.95</v>
      </c>
      <c r="K225" s="16">
        <v>5.0</v>
      </c>
      <c r="L225" s="18">
        <v>1259.75</v>
      </c>
      <c r="M225" s="16" t="s">
        <v>1586</v>
      </c>
      <c r="N225" s="16" t="s">
        <v>1587</v>
      </c>
      <c r="O225" s="16" t="s">
        <v>1588</v>
      </c>
    </row>
    <row r="226" ht="15.75" customHeight="1">
      <c r="A226" s="23">
        <v>45394.0</v>
      </c>
      <c r="B226" s="16" t="s">
        <v>9</v>
      </c>
      <c r="C226" s="16" t="str">
        <f t="shared" si="1"/>
        <v>Monterrey</v>
      </c>
      <c r="D226" s="16" t="str">
        <f t="shared" si="2"/>
        <v>Monterrey</v>
      </c>
      <c r="E226" s="16" t="str">
        <f t="shared" si="3"/>
        <v>Monterrey</v>
      </c>
      <c r="F226" s="16" t="s">
        <v>229</v>
      </c>
      <c r="G226" s="17" t="str">
        <f>IFERROR(__xludf.DUMMYFUNCTION("SPLIT(F226:F1225,""-"") "),"Laptop")</f>
        <v>Laptop</v>
      </c>
      <c r="H226" s="16" t="str">
        <f>IFERROR(__xludf.DUMMYFUNCTION("""COMPUTED_VALUE"""),"Oficina")</f>
        <v>Oficina</v>
      </c>
      <c r="I226" s="16" t="str">
        <f>IFERROR(__xludf.DUMMYFUNCTION("""COMPUTED_VALUE"""),"4GB")</f>
        <v>4GB</v>
      </c>
      <c r="J226" s="18">
        <v>1378.81</v>
      </c>
      <c r="K226" s="16">
        <v>3.0</v>
      </c>
      <c r="L226" s="18">
        <v>4136.43</v>
      </c>
      <c r="M226" s="16" t="s">
        <v>2527</v>
      </c>
      <c r="N226" s="16" t="s">
        <v>2528</v>
      </c>
      <c r="O226" s="16" t="s">
        <v>2529</v>
      </c>
    </row>
    <row r="227" ht="15.75" customHeight="1">
      <c r="A227" s="23">
        <v>45577.0</v>
      </c>
      <c r="B227" s="16" t="s">
        <v>58</v>
      </c>
      <c r="C227" s="16" t="str">
        <f t="shared" si="1"/>
        <v>Guadalajara</v>
      </c>
      <c r="D227" s="16" t="str">
        <f t="shared" si="2"/>
        <v>Guadalajara</v>
      </c>
      <c r="E227" s="16" t="str">
        <f t="shared" si="3"/>
        <v>Guadalajara</v>
      </c>
      <c r="F227" s="16" t="s">
        <v>23</v>
      </c>
      <c r="G227" s="17" t="str">
        <f>IFERROR(__xludf.DUMMYFUNCTION("SPLIT(F227:F1226,""-"") "),"Tablet")</f>
        <v>Tablet</v>
      </c>
      <c r="H227" s="16" t="str">
        <f>IFERROR(__xludf.DUMMYFUNCTION("""COMPUTED_VALUE"""),"Estándar")</f>
        <v>Estándar</v>
      </c>
      <c r="I227" s="16" t="str">
        <f>IFERROR(__xludf.DUMMYFUNCTION("""COMPUTED_VALUE"""),"16GB")</f>
        <v>16GB</v>
      </c>
      <c r="J227" s="18">
        <v>2215.63</v>
      </c>
      <c r="K227" s="16">
        <v>3.0</v>
      </c>
      <c r="L227" s="18">
        <v>6646.89</v>
      </c>
      <c r="M227" s="16" t="s">
        <v>157</v>
      </c>
      <c r="N227" s="16" t="s">
        <v>158</v>
      </c>
      <c r="O227" s="16" t="s">
        <v>159</v>
      </c>
    </row>
    <row r="228" ht="15.75" customHeight="1">
      <c r="A228" s="23">
        <v>45483.0</v>
      </c>
      <c r="B228" s="16" t="s">
        <v>14</v>
      </c>
      <c r="C228" s="16" t="str">
        <f t="shared" si="1"/>
        <v>Bogotá</v>
      </c>
      <c r="D228" s="16" t="str">
        <f t="shared" si="2"/>
        <v>Bogotá</v>
      </c>
      <c r="E228" s="16" t="str">
        <f t="shared" si="3"/>
        <v>Bogotá</v>
      </c>
      <c r="F228" s="16" t="s">
        <v>71</v>
      </c>
      <c r="G228" s="17" t="str">
        <f>IFERROR(__xludf.DUMMYFUNCTION("SPLIT(F228:F1227,""-"") "),"Auriculares")</f>
        <v>Auriculares</v>
      </c>
      <c r="H228" s="16" t="str">
        <f>IFERROR(__xludf.DUMMYFUNCTION("""COMPUTED_VALUE"""),"Bluetooth")</f>
        <v>Bluetooth</v>
      </c>
      <c r="I228" s="16" t="str">
        <f>IFERROR(__xludf.DUMMYFUNCTION("""COMPUTED_VALUE"""),"16GB")</f>
        <v>16GB</v>
      </c>
      <c r="J228" s="18">
        <v>1967.19</v>
      </c>
      <c r="K228" s="16">
        <v>2.0</v>
      </c>
      <c r="L228" s="18">
        <v>3934.38</v>
      </c>
      <c r="M228" s="16" t="s">
        <v>2530</v>
      </c>
      <c r="N228" s="16" t="s">
        <v>2531</v>
      </c>
      <c r="O228" s="16" t="s">
        <v>2532</v>
      </c>
    </row>
    <row r="229" ht="15.75" customHeight="1">
      <c r="A229" s="23">
        <v>45577.0</v>
      </c>
      <c r="B229" s="16" t="s">
        <v>14</v>
      </c>
      <c r="C229" s="16" t="str">
        <f t="shared" si="1"/>
        <v>Bogotá</v>
      </c>
      <c r="D229" s="16" t="str">
        <f t="shared" si="2"/>
        <v>Bogotá</v>
      </c>
      <c r="E229" s="16" t="str">
        <f t="shared" si="3"/>
        <v>Bogotá</v>
      </c>
      <c r="F229" s="16" t="s">
        <v>67</v>
      </c>
      <c r="G229" s="17" t="str">
        <f>IFERROR(__xludf.DUMMYFUNCTION("SPLIT(F229:F1228,""-"") "),"Tablet")</f>
        <v>Tablet</v>
      </c>
      <c r="H229" s="16" t="str">
        <f>IFERROR(__xludf.DUMMYFUNCTION("""COMPUTED_VALUE"""),"Estándar")</f>
        <v>Estándar</v>
      </c>
      <c r="I229" s="16" t="str">
        <f>IFERROR(__xludf.DUMMYFUNCTION("""COMPUTED_VALUE"""),"4GB")</f>
        <v>4GB</v>
      </c>
      <c r="J229" s="18">
        <v>2395.85</v>
      </c>
      <c r="K229" s="16">
        <v>4.0</v>
      </c>
      <c r="L229" s="18">
        <v>9583.4</v>
      </c>
      <c r="M229" s="16" t="s">
        <v>160</v>
      </c>
      <c r="N229" s="16" t="s">
        <v>161</v>
      </c>
      <c r="O229" s="16" t="s">
        <v>162</v>
      </c>
    </row>
    <row r="230" ht="15.75" customHeight="1">
      <c r="A230" s="19">
        <v>45509.0</v>
      </c>
      <c r="B230" s="16" t="s">
        <v>9</v>
      </c>
      <c r="C230" s="16" t="str">
        <f t="shared" si="1"/>
        <v>Monterrey</v>
      </c>
      <c r="D230" s="16" t="str">
        <f t="shared" si="2"/>
        <v>Monterrey</v>
      </c>
      <c r="E230" s="16" t="str">
        <f t="shared" si="3"/>
        <v>Monterrey</v>
      </c>
      <c r="F230" s="16" t="s">
        <v>369</v>
      </c>
      <c r="G230" s="17" t="str">
        <f>IFERROR(__xludf.DUMMYFUNCTION("SPLIT(F230:F1229,""-"") "),"Auriculares")</f>
        <v>Auriculares</v>
      </c>
      <c r="H230" s="16" t="str">
        <f>IFERROR(__xludf.DUMMYFUNCTION("""COMPUTED_VALUE"""),"Con cable")</f>
        <v>Con cable</v>
      </c>
      <c r="I230" s="16" t="str">
        <f>IFERROR(__xludf.DUMMYFUNCTION("""COMPUTED_VALUE"""),"4GB")</f>
        <v>4GB</v>
      </c>
      <c r="J230" s="18">
        <v>809.92</v>
      </c>
      <c r="K230" s="16">
        <v>4.0</v>
      </c>
      <c r="L230" s="18">
        <v>3239.68</v>
      </c>
      <c r="M230" s="16" t="s">
        <v>2533</v>
      </c>
      <c r="N230" s="16" t="s">
        <v>2534</v>
      </c>
      <c r="O230" s="16" t="s">
        <v>2535</v>
      </c>
    </row>
    <row r="231" ht="15.75" customHeight="1">
      <c r="A231" s="19">
        <v>45594.0</v>
      </c>
      <c r="B231" s="16" t="s">
        <v>35</v>
      </c>
      <c r="C231" s="16" t="str">
        <f t="shared" si="1"/>
        <v>Medellín</v>
      </c>
      <c r="D231" s="16" t="str">
        <f t="shared" si="2"/>
        <v>Medellín</v>
      </c>
      <c r="E231" s="16" t="str">
        <f t="shared" si="3"/>
        <v>Medellín</v>
      </c>
      <c r="F231" s="16" t="s">
        <v>63</v>
      </c>
      <c r="G231" s="17" t="str">
        <f>IFERROR(__xludf.DUMMYFUNCTION("SPLIT(F231:F1230,""-"") "),"Laptop")</f>
        <v>Laptop</v>
      </c>
      <c r="H231" s="16" t="str">
        <f>IFERROR(__xludf.DUMMYFUNCTION("""COMPUTED_VALUE"""),"Ultraliviana")</f>
        <v>Ultraliviana</v>
      </c>
      <c r="I231" s="16" t="str">
        <f>IFERROR(__xludf.DUMMYFUNCTION("""COMPUTED_VALUE"""),"4GB")</f>
        <v>4GB</v>
      </c>
      <c r="J231" s="18">
        <v>1156.44</v>
      </c>
      <c r="K231" s="16">
        <v>1.0</v>
      </c>
      <c r="L231" s="18">
        <v>1156.44</v>
      </c>
      <c r="M231" s="16" t="s">
        <v>733</v>
      </c>
      <c r="N231" s="16" t="s">
        <v>734</v>
      </c>
      <c r="O231" s="16" t="s">
        <v>735</v>
      </c>
    </row>
    <row r="232" ht="15.75" customHeight="1">
      <c r="A232" s="19">
        <v>45590.0</v>
      </c>
      <c r="B232" s="16" t="s">
        <v>75</v>
      </c>
      <c r="C232" s="16" t="str">
        <f t="shared" si="1"/>
        <v>Cali</v>
      </c>
      <c r="D232" s="16" t="str">
        <f t="shared" si="2"/>
        <v>Cali</v>
      </c>
      <c r="E232" s="16" t="str">
        <f t="shared" si="3"/>
        <v>Cali</v>
      </c>
      <c r="F232" s="16" t="s">
        <v>233</v>
      </c>
      <c r="G232" s="17" t="str">
        <f>IFERROR(__xludf.DUMMYFUNCTION("SPLIT(F232:F1231,""-"") "),"Tablet")</f>
        <v>Tablet</v>
      </c>
      <c r="H232" s="16" t="str">
        <f>IFERROR(__xludf.DUMMYFUNCTION("""COMPUTED_VALUE"""),"Mini")</f>
        <v>Mini</v>
      </c>
      <c r="I232" s="16" t="str">
        <f>IFERROR(__xludf.DUMMYFUNCTION("""COMPUTED_VALUE"""),"16GB")</f>
        <v>16GB</v>
      </c>
      <c r="J232" s="18">
        <v>1062.11</v>
      </c>
      <c r="K232" s="16">
        <v>2.0</v>
      </c>
      <c r="L232" s="18">
        <v>2124.22</v>
      </c>
      <c r="M232" s="16" t="s">
        <v>620</v>
      </c>
      <c r="N232" s="16" t="s">
        <v>621</v>
      </c>
      <c r="O232" s="16" t="s">
        <v>622</v>
      </c>
    </row>
    <row r="233" ht="15.75" customHeight="1">
      <c r="A233" s="19">
        <v>45649.0</v>
      </c>
      <c r="B233" s="16" t="s">
        <v>9</v>
      </c>
      <c r="C233" s="16" t="str">
        <f t="shared" si="1"/>
        <v>Monterrey</v>
      </c>
      <c r="D233" s="16" t="str">
        <f t="shared" si="2"/>
        <v>Monterrey</v>
      </c>
      <c r="E233" s="16" t="str">
        <f t="shared" si="3"/>
        <v>Monterrey</v>
      </c>
      <c r="F233" s="16" t="s">
        <v>319</v>
      </c>
      <c r="G233" s="17" t="str">
        <f>IFERROR(__xludf.DUMMYFUNCTION("SPLIT(F233:F1232,""-"") "),"Tablet")</f>
        <v>Tablet</v>
      </c>
      <c r="H233" s="16" t="str">
        <f>IFERROR(__xludf.DUMMYFUNCTION("""COMPUTED_VALUE"""),"Pro")</f>
        <v>Pro</v>
      </c>
      <c r="I233" s="16" t="str">
        <f>IFERROR(__xludf.DUMMYFUNCTION("""COMPUTED_VALUE"""),"32GB")</f>
        <v>32GB</v>
      </c>
      <c r="J233" s="18">
        <v>784.39</v>
      </c>
      <c r="K233" s="16">
        <v>1.0</v>
      </c>
      <c r="L233" s="18">
        <v>784.39</v>
      </c>
      <c r="M233" s="16" t="s">
        <v>2093</v>
      </c>
      <c r="N233" s="16" t="s">
        <v>2094</v>
      </c>
      <c r="O233" s="16" t="s">
        <v>2095</v>
      </c>
    </row>
    <row r="234" ht="15.75" customHeight="1">
      <c r="A234" s="19">
        <v>45647.0</v>
      </c>
      <c r="B234" s="16" t="s">
        <v>75</v>
      </c>
      <c r="C234" s="16" t="str">
        <f t="shared" si="1"/>
        <v>Cali</v>
      </c>
      <c r="D234" s="16" t="str">
        <f t="shared" si="2"/>
        <v>Cali</v>
      </c>
      <c r="E234" s="16" t="str">
        <f t="shared" si="3"/>
        <v>Cali</v>
      </c>
      <c r="F234" s="16" t="s">
        <v>121</v>
      </c>
      <c r="G234" s="17" t="str">
        <f>IFERROR(__xludf.DUMMYFUNCTION("SPLIT(F234:F1233,""-"") "),"Teléfono")</f>
        <v>Teléfono</v>
      </c>
      <c r="H234" s="16" t="str">
        <f>IFERROR(__xludf.DUMMYFUNCTION("""COMPUTED_VALUE"""),"Gama alta")</f>
        <v>Gama alta</v>
      </c>
      <c r="I234" s="16" t="str">
        <f>IFERROR(__xludf.DUMMYFUNCTION("""COMPUTED_VALUE"""),"8GB")</f>
        <v>8GB</v>
      </c>
      <c r="J234" s="18">
        <v>1459.53</v>
      </c>
      <c r="K234" s="16">
        <v>1.0</v>
      </c>
      <c r="L234" s="18">
        <v>1459.53</v>
      </c>
      <c r="M234" s="16" t="s">
        <v>2041</v>
      </c>
      <c r="N234" s="16" t="s">
        <v>2042</v>
      </c>
      <c r="O234" s="16" t="s">
        <v>2043</v>
      </c>
    </row>
    <row r="235" ht="15.75" customHeight="1">
      <c r="A235" s="23">
        <v>45606.0</v>
      </c>
      <c r="B235" s="16" t="s">
        <v>9</v>
      </c>
      <c r="C235" s="16" t="str">
        <f t="shared" si="1"/>
        <v>Monterrey</v>
      </c>
      <c r="D235" s="16" t="str">
        <f t="shared" si="2"/>
        <v>Monterrey</v>
      </c>
      <c r="E235" s="16" t="str">
        <f t="shared" si="3"/>
        <v>Monterrey</v>
      </c>
      <c r="F235" s="16" t="s">
        <v>311</v>
      </c>
      <c r="G235" s="17" t="str">
        <f>IFERROR(__xludf.DUMMYFUNCTION("SPLIT(F235:F1234,""-"") "),"Laptop")</f>
        <v>Laptop</v>
      </c>
      <c r="H235" s="16" t="str">
        <f>IFERROR(__xludf.DUMMYFUNCTION("""COMPUTED_VALUE"""),"Ultraliviana")</f>
        <v>Ultraliviana</v>
      </c>
      <c r="I235" s="16" t="str">
        <f>IFERROR(__xludf.DUMMYFUNCTION("""COMPUTED_VALUE"""),"32GB")</f>
        <v>32GB</v>
      </c>
      <c r="J235" s="18">
        <v>1668.3</v>
      </c>
      <c r="K235" s="16">
        <v>2.0</v>
      </c>
      <c r="L235" s="18">
        <v>3336.6</v>
      </c>
      <c r="M235" s="16" t="s">
        <v>930</v>
      </c>
      <c r="N235" s="16" t="s">
        <v>931</v>
      </c>
      <c r="O235" s="16" t="s">
        <v>932</v>
      </c>
    </row>
    <row r="236" ht="15.75" customHeight="1">
      <c r="A236" s="23">
        <v>45334.0</v>
      </c>
      <c r="B236" s="16" t="s">
        <v>58</v>
      </c>
      <c r="C236" s="16" t="str">
        <f t="shared" si="1"/>
        <v>Guadalajara</v>
      </c>
      <c r="D236" s="16" t="str">
        <f t="shared" si="2"/>
        <v>Guadalajara</v>
      </c>
      <c r="E236" s="16" t="str">
        <f t="shared" si="3"/>
        <v>Guadalajara</v>
      </c>
      <c r="F236" s="16" t="s">
        <v>23</v>
      </c>
      <c r="G236" s="17" t="str">
        <f>IFERROR(__xludf.DUMMYFUNCTION("SPLIT(F236:F1235,""-"") "),"Tablet")</f>
        <v>Tablet</v>
      </c>
      <c r="H236" s="16" t="str">
        <f>IFERROR(__xludf.DUMMYFUNCTION("""COMPUTED_VALUE"""),"Estándar")</f>
        <v>Estándar</v>
      </c>
      <c r="I236" s="16" t="str">
        <f>IFERROR(__xludf.DUMMYFUNCTION("""COMPUTED_VALUE"""),"16GB")</f>
        <v>16GB</v>
      </c>
      <c r="J236" s="18">
        <v>563.73</v>
      </c>
      <c r="K236" s="16">
        <v>1.0</v>
      </c>
      <c r="L236" s="18">
        <v>563.73</v>
      </c>
      <c r="M236" s="16" t="s">
        <v>2536</v>
      </c>
      <c r="N236" s="16" t="s">
        <v>2537</v>
      </c>
      <c r="O236" s="16" t="s">
        <v>2538</v>
      </c>
    </row>
    <row r="237" ht="15.75" customHeight="1">
      <c r="A237" s="19">
        <v>45655.0</v>
      </c>
      <c r="B237" s="16" t="s">
        <v>58</v>
      </c>
      <c r="C237" s="16" t="str">
        <f t="shared" si="1"/>
        <v>Guadalajara</v>
      </c>
      <c r="D237" s="16" t="str">
        <f t="shared" si="2"/>
        <v>Guadalajara</v>
      </c>
      <c r="E237" s="16" t="str">
        <f t="shared" si="3"/>
        <v>Guadalajara</v>
      </c>
      <c r="F237" s="16" t="s">
        <v>81</v>
      </c>
      <c r="G237" s="17" t="str">
        <f>IFERROR(__xludf.DUMMYFUNCTION("SPLIT(F237:F1236,""-"") "),"Laptop")</f>
        <v>Laptop</v>
      </c>
      <c r="H237" s="16" t="str">
        <f>IFERROR(__xludf.DUMMYFUNCTION("""COMPUTED_VALUE"""),"Oficina")</f>
        <v>Oficina</v>
      </c>
      <c r="I237" s="16" t="str">
        <f>IFERROR(__xludf.DUMMYFUNCTION("""COMPUTED_VALUE"""),"16GB")</f>
        <v>16GB</v>
      </c>
      <c r="J237" s="18">
        <v>2209.08</v>
      </c>
      <c r="K237" s="16">
        <v>2.0</v>
      </c>
      <c r="L237" s="18">
        <v>4418.16</v>
      </c>
      <c r="M237" s="16" t="s">
        <v>2276</v>
      </c>
      <c r="N237" s="16" t="s">
        <v>2277</v>
      </c>
      <c r="O237" s="16" t="s">
        <v>2278</v>
      </c>
    </row>
    <row r="238" ht="15.75" customHeight="1">
      <c r="A238" s="19">
        <v>45625.0</v>
      </c>
      <c r="B238" s="16" t="s">
        <v>2359</v>
      </c>
      <c r="C238" s="16" t="str">
        <f t="shared" si="1"/>
        <v>Ciudad De M√©Xico</v>
      </c>
      <c r="D238" s="16" t="str">
        <f t="shared" si="2"/>
        <v>Ciudad De M√©Xico</v>
      </c>
      <c r="E238" s="16" t="str">
        <f t="shared" si="3"/>
        <v>Ciudad De MéXico</v>
      </c>
      <c r="F238" s="16" t="s">
        <v>139</v>
      </c>
      <c r="G238" s="17" t="str">
        <f>IFERROR(__xludf.DUMMYFUNCTION("SPLIT(F238:F1237,""-"") "),"Auriculares")</f>
        <v>Auriculares</v>
      </c>
      <c r="H238" s="16" t="str">
        <f>IFERROR(__xludf.DUMMYFUNCTION("""COMPUTED_VALUE"""),"Con cable")</f>
        <v>Con cable</v>
      </c>
      <c r="I238" s="16" t="str">
        <f>IFERROR(__xludf.DUMMYFUNCTION("""COMPUTED_VALUE"""),"16GB")</f>
        <v>16GB</v>
      </c>
      <c r="J238" s="18">
        <v>568.57</v>
      </c>
      <c r="K238" s="16">
        <v>3.0</v>
      </c>
      <c r="L238" s="18">
        <v>1705.71</v>
      </c>
      <c r="M238" s="16" t="s">
        <v>1589</v>
      </c>
      <c r="N238" s="16" t="s">
        <v>1590</v>
      </c>
      <c r="O238" s="16" t="s">
        <v>1591</v>
      </c>
    </row>
    <row r="239" ht="15.75" customHeight="1">
      <c r="A239" s="19">
        <v>45624.0</v>
      </c>
      <c r="B239" s="16" t="s">
        <v>14</v>
      </c>
      <c r="C239" s="16" t="str">
        <f t="shared" si="1"/>
        <v>Bogotá</v>
      </c>
      <c r="D239" s="16" t="str">
        <f t="shared" si="2"/>
        <v>Bogotá</v>
      </c>
      <c r="E239" s="16" t="str">
        <f t="shared" si="3"/>
        <v>Bogotá</v>
      </c>
      <c r="F239" s="16" t="s">
        <v>23</v>
      </c>
      <c r="G239" s="17" t="str">
        <f>IFERROR(__xludf.DUMMYFUNCTION("SPLIT(F239:F1238,""-"") "),"Tablet")</f>
        <v>Tablet</v>
      </c>
      <c r="H239" s="16" t="str">
        <f>IFERROR(__xludf.DUMMYFUNCTION("""COMPUTED_VALUE"""),"Estándar")</f>
        <v>Estándar</v>
      </c>
      <c r="I239" s="16" t="str">
        <f>IFERROR(__xludf.DUMMYFUNCTION("""COMPUTED_VALUE"""),"16GB")</f>
        <v>16GB</v>
      </c>
      <c r="J239" s="18">
        <v>1795.59</v>
      </c>
      <c r="K239" s="16">
        <v>5.0</v>
      </c>
      <c r="L239" s="18">
        <v>8977.95</v>
      </c>
      <c r="M239" s="16" t="s">
        <v>1562</v>
      </c>
      <c r="N239" s="16" t="s">
        <v>1563</v>
      </c>
      <c r="O239" s="16" t="s">
        <v>1564</v>
      </c>
    </row>
    <row r="240" ht="15.75" customHeight="1">
      <c r="A240" s="23">
        <v>45577.0</v>
      </c>
      <c r="B240" s="16" t="s">
        <v>58</v>
      </c>
      <c r="C240" s="16" t="str">
        <f t="shared" si="1"/>
        <v>Guadalajara</v>
      </c>
      <c r="D240" s="16" t="str">
        <f t="shared" si="2"/>
        <v>Guadalajara</v>
      </c>
      <c r="E240" s="16" t="str">
        <f t="shared" si="3"/>
        <v>Guadalajara</v>
      </c>
      <c r="F240" s="16" t="s">
        <v>163</v>
      </c>
      <c r="G240" s="17" t="str">
        <f>IFERROR(__xludf.DUMMYFUNCTION("SPLIT(F240:F1239,""-"") "),"Laptop")</f>
        <v>Laptop</v>
      </c>
      <c r="H240" s="16" t="str">
        <f>IFERROR(__xludf.DUMMYFUNCTION("""COMPUTED_VALUE"""),"Oficina")</f>
        <v>Oficina</v>
      </c>
      <c r="I240" s="16" t="str">
        <f>IFERROR(__xludf.DUMMYFUNCTION("""COMPUTED_VALUE"""),"32GB")</f>
        <v>32GB</v>
      </c>
      <c r="J240" s="18">
        <v>883.61</v>
      </c>
      <c r="K240" s="16">
        <v>2.0</v>
      </c>
      <c r="L240" s="18">
        <v>1767.22</v>
      </c>
      <c r="M240" s="16" t="s">
        <v>164</v>
      </c>
      <c r="N240" s="16" t="s">
        <v>165</v>
      </c>
      <c r="O240" s="16" t="s">
        <v>166</v>
      </c>
    </row>
    <row r="241" ht="15.75" customHeight="1">
      <c r="A241" s="19">
        <v>45639.0</v>
      </c>
      <c r="B241" s="16" t="s">
        <v>1808</v>
      </c>
      <c r="C241" s="16" t="str">
        <f t="shared" si="1"/>
        <v>Monterrey.  </v>
      </c>
      <c r="D241" s="16" t="str">
        <f t="shared" si="2"/>
        <v>Monterrey.</v>
      </c>
      <c r="E241" s="16" t="str">
        <f t="shared" si="3"/>
        <v>Monterrey.</v>
      </c>
      <c r="F241" s="16" t="s">
        <v>430</v>
      </c>
      <c r="G241" s="17" t="str">
        <f>IFERROR(__xludf.DUMMYFUNCTION("SPLIT(F241:F1240,""-"") "),"Teléfono")</f>
        <v>Teléfono</v>
      </c>
      <c r="H241" s="16" t="str">
        <f>IFERROR(__xludf.DUMMYFUNCTION("""COMPUTED_VALUE"""),"Gama alta")</f>
        <v>Gama alta</v>
      </c>
      <c r="I241" s="16" t="str">
        <f>IFERROR(__xludf.DUMMYFUNCTION("""COMPUTED_VALUE"""),"4GB")</f>
        <v>4GB</v>
      </c>
      <c r="J241" s="18">
        <v>1566.36</v>
      </c>
      <c r="K241" s="16">
        <v>5.0</v>
      </c>
      <c r="L241" s="18">
        <v>7831.8</v>
      </c>
      <c r="M241" s="16" t="s">
        <v>1809</v>
      </c>
      <c r="N241" s="16" t="s">
        <v>1810</v>
      </c>
      <c r="O241" s="16" t="s">
        <v>1811</v>
      </c>
    </row>
    <row r="242" ht="15.75" customHeight="1">
      <c r="A242" s="19">
        <v>45614.0</v>
      </c>
      <c r="B242" s="16" t="s">
        <v>9</v>
      </c>
      <c r="C242" s="16" t="str">
        <f t="shared" si="1"/>
        <v>Monterrey</v>
      </c>
      <c r="D242" s="16" t="str">
        <f t="shared" si="2"/>
        <v>Monterrey</v>
      </c>
      <c r="E242" s="16" t="str">
        <f t="shared" si="3"/>
        <v>Monterrey</v>
      </c>
      <c r="F242" s="16" t="s">
        <v>15</v>
      </c>
      <c r="G242" s="17" t="str">
        <f>IFERROR(__xludf.DUMMYFUNCTION("SPLIT(F242:F1241,""-"") "),"Auriculares")</f>
        <v>Auriculares</v>
      </c>
      <c r="H242" s="16" t="str">
        <f>IFERROR(__xludf.DUMMYFUNCTION("""COMPUTED_VALUE"""),"Con cable")</f>
        <v>Con cable</v>
      </c>
      <c r="I242" s="16" t="str">
        <f>IFERROR(__xludf.DUMMYFUNCTION("""COMPUTED_VALUE"""),"32GB")</f>
        <v>32GB</v>
      </c>
      <c r="J242" s="18">
        <v>1141.13</v>
      </c>
      <c r="K242" s="16">
        <v>3.0</v>
      </c>
      <c r="L242" s="18">
        <v>3423.39</v>
      </c>
      <c r="M242" s="16" t="s">
        <v>1236</v>
      </c>
      <c r="N242" s="16" t="s">
        <v>1237</v>
      </c>
      <c r="O242" s="16" t="s">
        <v>1238</v>
      </c>
    </row>
    <row r="243" ht="15.75" customHeight="1">
      <c r="A243" s="23">
        <v>45516.0</v>
      </c>
      <c r="B243" s="16" t="s">
        <v>2359</v>
      </c>
      <c r="C243" s="16" t="str">
        <f t="shared" si="1"/>
        <v>Ciudad De M√©Xico</v>
      </c>
      <c r="D243" s="16" t="str">
        <f t="shared" si="2"/>
        <v>Ciudad De M√©Xico</v>
      </c>
      <c r="E243" s="16" t="str">
        <f t="shared" si="3"/>
        <v>Ciudad De MéXico</v>
      </c>
      <c r="F243" s="16" t="s">
        <v>171</v>
      </c>
      <c r="G243" s="17" t="str">
        <f>IFERROR(__xludf.DUMMYFUNCTION("SPLIT(F243:F1242,""-"") "),"Teléfono")</f>
        <v>Teléfono</v>
      </c>
      <c r="H243" s="16" t="str">
        <f>IFERROR(__xludf.DUMMYFUNCTION("""COMPUTED_VALUE"""),"Gama baja")</f>
        <v>Gama baja</v>
      </c>
      <c r="I243" s="16" t="str">
        <f>IFERROR(__xludf.DUMMYFUNCTION("""COMPUTED_VALUE"""),"4GB")</f>
        <v>4GB</v>
      </c>
      <c r="J243" s="18">
        <v>1614.05</v>
      </c>
      <c r="K243" s="16">
        <v>5.0</v>
      </c>
      <c r="L243" s="18">
        <v>8070.25</v>
      </c>
      <c r="M243" s="16" t="s">
        <v>2539</v>
      </c>
      <c r="N243" s="16" t="s">
        <v>2540</v>
      </c>
      <c r="O243" s="16" t="s">
        <v>2541</v>
      </c>
    </row>
    <row r="244" ht="15.75" customHeight="1">
      <c r="A244" s="19">
        <v>45643.0</v>
      </c>
      <c r="B244" s="16" t="s">
        <v>75</v>
      </c>
      <c r="C244" s="16" t="str">
        <f t="shared" si="1"/>
        <v>Cali</v>
      </c>
      <c r="D244" s="16" t="str">
        <f t="shared" si="2"/>
        <v>Cali</v>
      </c>
      <c r="E244" s="16" t="str">
        <f t="shared" si="3"/>
        <v>Cali</v>
      </c>
      <c r="F244" s="16" t="s">
        <v>94</v>
      </c>
      <c r="G244" s="17" t="str">
        <f>IFERROR(__xludf.DUMMYFUNCTION("SPLIT(F244:F1243,""-"") "),"Tablet")</f>
        <v>Tablet</v>
      </c>
      <c r="H244" s="16" t="str">
        <f>IFERROR(__xludf.DUMMYFUNCTION("""COMPUTED_VALUE"""),"Mini")</f>
        <v>Mini</v>
      </c>
      <c r="I244" s="16" t="str">
        <f>IFERROR(__xludf.DUMMYFUNCTION("""COMPUTED_VALUE"""),"8GB")</f>
        <v>8GB</v>
      </c>
      <c r="J244" s="18">
        <v>1865.58</v>
      </c>
      <c r="K244" s="16">
        <v>2.0</v>
      </c>
      <c r="L244" s="18">
        <v>3731.16</v>
      </c>
      <c r="M244" s="16" t="s">
        <v>1915</v>
      </c>
      <c r="N244" s="16" t="s">
        <v>1916</v>
      </c>
      <c r="O244" s="16" t="s">
        <v>1917</v>
      </c>
    </row>
    <row r="245" ht="15.75" customHeight="1">
      <c r="A245" s="24">
        <v>45606.0</v>
      </c>
      <c r="B245" s="16" t="s">
        <v>9</v>
      </c>
      <c r="C245" s="16" t="str">
        <f t="shared" si="1"/>
        <v>Monterrey</v>
      </c>
      <c r="D245" s="16" t="str">
        <f t="shared" si="2"/>
        <v>Monterrey</v>
      </c>
      <c r="E245" s="16" t="str">
        <f t="shared" si="3"/>
        <v>Monterrey</v>
      </c>
      <c r="F245" s="16" t="s">
        <v>15</v>
      </c>
      <c r="G245" s="17" t="str">
        <f>IFERROR(__xludf.DUMMYFUNCTION("SPLIT(F245:F1244,""-"") "),"Auriculares")</f>
        <v>Auriculares</v>
      </c>
      <c r="H245" s="16" t="str">
        <f>IFERROR(__xludf.DUMMYFUNCTION("""COMPUTED_VALUE"""),"Con cable")</f>
        <v>Con cable</v>
      </c>
      <c r="I245" s="16" t="str">
        <f>IFERROR(__xludf.DUMMYFUNCTION("""COMPUTED_VALUE"""),"32GB")</f>
        <v>32GB</v>
      </c>
      <c r="J245" s="18">
        <v>1585.75</v>
      </c>
      <c r="K245" s="16">
        <v>5.0</v>
      </c>
      <c r="L245" s="18">
        <v>7928.75</v>
      </c>
      <c r="M245" s="16" t="s">
        <v>933</v>
      </c>
      <c r="N245" s="16" t="s">
        <v>934</v>
      </c>
      <c r="O245" s="16" t="s">
        <v>935</v>
      </c>
    </row>
    <row r="246" ht="15.75" customHeight="1">
      <c r="A246" s="19">
        <v>45625.0</v>
      </c>
      <c r="B246" s="16" t="s">
        <v>9</v>
      </c>
      <c r="C246" s="16" t="str">
        <f t="shared" si="1"/>
        <v>Monterrey</v>
      </c>
      <c r="D246" s="16" t="str">
        <f t="shared" si="2"/>
        <v>Monterrey</v>
      </c>
      <c r="E246" s="16" t="str">
        <f t="shared" si="3"/>
        <v>Monterrey</v>
      </c>
      <c r="F246" s="16" t="s">
        <v>1592</v>
      </c>
      <c r="G246" s="17" t="str">
        <f>IFERROR(__xludf.DUMMYFUNCTION("SPLIT(F246:F1245,""-"") "),"Laptop")</f>
        <v>Laptop</v>
      </c>
      <c r="H246" s="16" t="str">
        <f>IFERROR(__xludf.DUMMYFUNCTION("""COMPUTED_VALUE"""),"Gaming")</f>
        <v>Gaming</v>
      </c>
      <c r="I246" s="16" t="str">
        <f>IFERROR(__xludf.DUMMYFUNCTION("""COMPUTED_VALUE"""),"4GB ")</f>
        <v>4GB </v>
      </c>
      <c r="J246" s="18">
        <v>1491.36</v>
      </c>
      <c r="K246" s="16">
        <v>2.0</v>
      </c>
      <c r="L246" s="18">
        <v>2982.72</v>
      </c>
      <c r="M246" s="16" t="s">
        <v>1593</v>
      </c>
      <c r="N246" s="16" t="s">
        <v>1594</v>
      </c>
      <c r="O246" s="16" t="s">
        <v>1595</v>
      </c>
    </row>
    <row r="247" ht="15.75" customHeight="1">
      <c r="A247" s="19">
        <v>45640.0</v>
      </c>
      <c r="B247" s="16" t="s">
        <v>35</v>
      </c>
      <c r="C247" s="16" t="str">
        <f t="shared" si="1"/>
        <v>Medellín</v>
      </c>
      <c r="D247" s="16" t="str">
        <f t="shared" si="2"/>
        <v>Medellín</v>
      </c>
      <c r="E247" s="16" t="str">
        <f t="shared" si="3"/>
        <v>Medellín</v>
      </c>
      <c r="F247" s="16" t="s">
        <v>153</v>
      </c>
      <c r="G247" s="17" t="str">
        <f>IFERROR(__xludf.DUMMYFUNCTION("SPLIT(F247:F1246,""-"") "),"Laptop")</f>
        <v>Laptop</v>
      </c>
      <c r="H247" s="16" t="str">
        <f>IFERROR(__xludf.DUMMYFUNCTION("""COMPUTED_VALUE"""),"Gaming")</f>
        <v>Gaming</v>
      </c>
      <c r="I247" s="16" t="str">
        <f>IFERROR(__xludf.DUMMYFUNCTION("""COMPUTED_VALUE"""),"8GB")</f>
        <v>8GB</v>
      </c>
      <c r="J247" s="18">
        <v>516.02</v>
      </c>
      <c r="K247" s="16">
        <v>4.0</v>
      </c>
      <c r="L247" s="18">
        <v>2064.08</v>
      </c>
      <c r="M247" s="16" t="s">
        <v>1830</v>
      </c>
      <c r="N247" s="16" t="s">
        <v>1831</v>
      </c>
      <c r="O247" s="16" t="s">
        <v>1832</v>
      </c>
    </row>
    <row r="248" ht="15.75" customHeight="1">
      <c r="A248" s="23">
        <v>45638.0</v>
      </c>
      <c r="B248" s="16" t="s">
        <v>9</v>
      </c>
      <c r="C248" s="16" t="str">
        <f t="shared" si="1"/>
        <v>Monterrey</v>
      </c>
      <c r="D248" s="16" t="str">
        <f t="shared" si="2"/>
        <v>Monterrey</v>
      </c>
      <c r="E248" s="16" t="str">
        <f t="shared" si="3"/>
        <v>Monterrey</v>
      </c>
      <c r="F248" s="16" t="s">
        <v>319</v>
      </c>
      <c r="G248" s="17" t="str">
        <f>IFERROR(__xludf.DUMMYFUNCTION("SPLIT(F248:F1247,""-"") "),"Tablet")</f>
        <v>Tablet</v>
      </c>
      <c r="H248" s="16" t="str">
        <f>IFERROR(__xludf.DUMMYFUNCTION("""COMPUTED_VALUE"""),"Pro")</f>
        <v>Pro</v>
      </c>
      <c r="I248" s="16" t="str">
        <f>IFERROR(__xludf.DUMMYFUNCTION("""COMPUTED_VALUE"""),"32GB")</f>
        <v>32GB</v>
      </c>
      <c r="J248" s="18">
        <v>153.47</v>
      </c>
      <c r="K248" s="16">
        <v>3.0</v>
      </c>
      <c r="L248" s="18">
        <v>460.41</v>
      </c>
      <c r="M248" s="16" t="s">
        <v>1793</v>
      </c>
      <c r="N248" s="16" t="s">
        <v>1794</v>
      </c>
      <c r="O248" s="16" t="s">
        <v>1795</v>
      </c>
    </row>
    <row r="249" ht="15.75" customHeight="1">
      <c r="A249" s="23">
        <v>45546.0</v>
      </c>
      <c r="B249" s="16" t="s">
        <v>58</v>
      </c>
      <c r="C249" s="16" t="str">
        <f t="shared" si="1"/>
        <v>Guadalajara</v>
      </c>
      <c r="D249" s="16" t="str">
        <f t="shared" si="2"/>
        <v>Guadalajara</v>
      </c>
      <c r="E249" s="16" t="str">
        <f t="shared" si="3"/>
        <v>Guadalajara</v>
      </c>
      <c r="F249" s="16" t="s">
        <v>255</v>
      </c>
      <c r="G249" s="17" t="str">
        <f>IFERROR(__xludf.DUMMYFUNCTION("SPLIT(F249:F1248,""-"") "),"Auriculares")</f>
        <v>Auriculares</v>
      </c>
      <c r="H249" s="16" t="str">
        <f>IFERROR(__xludf.DUMMYFUNCTION("""COMPUTED_VALUE"""),"Bluetooth")</f>
        <v>Bluetooth</v>
      </c>
      <c r="I249" s="16" t="str">
        <f>IFERROR(__xludf.DUMMYFUNCTION("""COMPUTED_VALUE"""),"8GB")</f>
        <v>8GB</v>
      </c>
      <c r="J249" s="18">
        <v>107.98</v>
      </c>
      <c r="K249" s="16">
        <v>2.0</v>
      </c>
      <c r="L249" s="18">
        <v>215.96</v>
      </c>
      <c r="M249" s="16" t="s">
        <v>2542</v>
      </c>
      <c r="N249" s="16" t="s">
        <v>2543</v>
      </c>
      <c r="O249" s="16" t="s">
        <v>2544</v>
      </c>
    </row>
    <row r="250" ht="15.75" customHeight="1">
      <c r="A250" s="19">
        <v>45650.0</v>
      </c>
      <c r="B250" s="16" t="s">
        <v>75</v>
      </c>
      <c r="C250" s="16" t="str">
        <f t="shared" si="1"/>
        <v>Cali</v>
      </c>
      <c r="D250" s="16" t="str">
        <f t="shared" si="2"/>
        <v>Cali</v>
      </c>
      <c r="E250" s="16" t="str">
        <f t="shared" si="3"/>
        <v>Cali</v>
      </c>
      <c r="F250" s="16" t="s">
        <v>121</v>
      </c>
      <c r="G250" s="17" t="str">
        <f>IFERROR(__xludf.DUMMYFUNCTION("SPLIT(F250:F1249,""-"") "),"Teléfono")</f>
        <v>Teléfono</v>
      </c>
      <c r="H250" s="16" t="str">
        <f>IFERROR(__xludf.DUMMYFUNCTION("""COMPUTED_VALUE"""),"Gama alta")</f>
        <v>Gama alta</v>
      </c>
      <c r="I250" s="16" t="str">
        <f>IFERROR(__xludf.DUMMYFUNCTION("""COMPUTED_VALUE"""),"8GB")</f>
        <v>8GB</v>
      </c>
      <c r="J250" s="18">
        <v>2441.7</v>
      </c>
      <c r="K250" s="16">
        <v>2.0</v>
      </c>
      <c r="L250" s="18">
        <v>4883.4</v>
      </c>
      <c r="M250" s="16" t="s">
        <v>2135</v>
      </c>
      <c r="N250" s="16" t="s">
        <v>2136</v>
      </c>
      <c r="O250" s="16" t="s">
        <v>2137</v>
      </c>
    </row>
    <row r="251" ht="15.75" customHeight="1">
      <c r="A251" s="19">
        <v>45589.0</v>
      </c>
      <c r="B251" s="16" t="s">
        <v>75</v>
      </c>
      <c r="C251" s="16" t="str">
        <f t="shared" si="1"/>
        <v>Cali</v>
      </c>
      <c r="D251" s="16" t="str">
        <f t="shared" si="2"/>
        <v>Cali</v>
      </c>
      <c r="E251" s="16" t="str">
        <f t="shared" si="3"/>
        <v>Cali</v>
      </c>
      <c r="F251" s="16" t="s">
        <v>36</v>
      </c>
      <c r="G251" s="17" t="str">
        <f>IFERROR(__xludf.DUMMYFUNCTION("SPLIT(F251:F1250,""-"") "),"Tablet")</f>
        <v>Tablet</v>
      </c>
      <c r="H251" s="16" t="str">
        <f>IFERROR(__xludf.DUMMYFUNCTION("""COMPUTED_VALUE"""),"Pro")</f>
        <v>Pro</v>
      </c>
      <c r="I251" s="16" t="str">
        <f>IFERROR(__xludf.DUMMYFUNCTION("""COMPUTED_VALUE"""),"4GB")</f>
        <v>4GB</v>
      </c>
      <c r="J251" s="18">
        <v>785.65</v>
      </c>
      <c r="K251" s="16">
        <v>1.0</v>
      </c>
      <c r="L251" s="18">
        <v>785.65</v>
      </c>
      <c r="M251" s="16" t="s">
        <v>581</v>
      </c>
      <c r="N251" s="16" t="s">
        <v>582</v>
      </c>
      <c r="O251" s="16" t="s">
        <v>583</v>
      </c>
    </row>
    <row r="252" ht="15.75" customHeight="1">
      <c r="A252" s="23">
        <v>45606.0</v>
      </c>
      <c r="B252" s="16" t="s">
        <v>9</v>
      </c>
      <c r="C252" s="16" t="str">
        <f t="shared" si="1"/>
        <v>Monterrey</v>
      </c>
      <c r="D252" s="16" t="str">
        <f t="shared" si="2"/>
        <v>Monterrey</v>
      </c>
      <c r="E252" s="16" t="str">
        <f t="shared" si="3"/>
        <v>Monterrey</v>
      </c>
      <c r="F252" s="16" t="s">
        <v>399</v>
      </c>
      <c r="G252" s="17" t="str">
        <f>IFERROR(__xludf.DUMMYFUNCTION("SPLIT(F252:F1251,""-"") "),"Laptop")</f>
        <v>Laptop</v>
      </c>
      <c r="H252" s="16" t="str">
        <f>IFERROR(__xludf.DUMMYFUNCTION("""COMPUTED_VALUE"""),"Gaming")</f>
        <v>Gaming</v>
      </c>
      <c r="I252" s="16" t="str">
        <f>IFERROR(__xludf.DUMMYFUNCTION("""COMPUTED_VALUE"""),"4GB")</f>
        <v>4GB</v>
      </c>
      <c r="J252" s="18">
        <v>229.33</v>
      </c>
      <c r="K252" s="16">
        <v>4.0</v>
      </c>
      <c r="L252" s="18">
        <v>917.32</v>
      </c>
      <c r="M252" s="16" t="s">
        <v>936</v>
      </c>
      <c r="N252" s="16" t="s">
        <v>937</v>
      </c>
      <c r="O252" s="16" t="s">
        <v>938</v>
      </c>
    </row>
    <row r="253" ht="15.75" customHeight="1">
      <c r="A253" s="23">
        <v>45393.0</v>
      </c>
      <c r="B253" s="16" t="s">
        <v>58</v>
      </c>
      <c r="C253" s="16" t="str">
        <f t="shared" si="1"/>
        <v>Guadalajara</v>
      </c>
      <c r="D253" s="16" t="str">
        <f t="shared" si="2"/>
        <v>Guadalajara</v>
      </c>
      <c r="E253" s="16" t="str">
        <f t="shared" si="3"/>
        <v>Guadalajara</v>
      </c>
      <c r="F253" s="16" t="s">
        <v>163</v>
      </c>
      <c r="G253" s="17" t="str">
        <f>IFERROR(__xludf.DUMMYFUNCTION("SPLIT(F253:F1252,""-"") "),"Laptop")</f>
        <v>Laptop</v>
      </c>
      <c r="H253" s="16" t="str">
        <f>IFERROR(__xludf.DUMMYFUNCTION("""COMPUTED_VALUE"""),"Oficina")</f>
        <v>Oficina</v>
      </c>
      <c r="I253" s="16" t="str">
        <f>IFERROR(__xludf.DUMMYFUNCTION("""COMPUTED_VALUE"""),"32GB")</f>
        <v>32GB</v>
      </c>
      <c r="J253" s="18">
        <v>1345.66</v>
      </c>
      <c r="K253" s="16">
        <v>2.0</v>
      </c>
      <c r="L253" s="18">
        <v>2691.32</v>
      </c>
      <c r="M253" s="16" t="s">
        <v>2545</v>
      </c>
      <c r="N253" s="16" t="s">
        <v>2546</v>
      </c>
      <c r="O253" s="16" t="s">
        <v>2547</v>
      </c>
    </row>
    <row r="254" ht="15.75" customHeight="1">
      <c r="A254" s="19">
        <v>45581.0</v>
      </c>
      <c r="B254" s="16" t="s">
        <v>9</v>
      </c>
      <c r="C254" s="16" t="str">
        <f t="shared" si="1"/>
        <v>Monterrey</v>
      </c>
      <c r="D254" s="16" t="str">
        <f t="shared" si="2"/>
        <v>Monterrey</v>
      </c>
      <c r="E254" s="16" t="str">
        <f t="shared" si="3"/>
        <v>Monterrey</v>
      </c>
      <c r="F254" s="16" t="s">
        <v>319</v>
      </c>
      <c r="G254" s="17" t="str">
        <f>IFERROR(__xludf.DUMMYFUNCTION("SPLIT(F254:F1253,""-"") "),"Tablet")</f>
        <v>Tablet</v>
      </c>
      <c r="H254" s="16" t="str">
        <f>IFERROR(__xludf.DUMMYFUNCTION("""COMPUTED_VALUE"""),"Pro")</f>
        <v>Pro</v>
      </c>
      <c r="I254" s="16" t="str">
        <f>IFERROR(__xludf.DUMMYFUNCTION("""COMPUTED_VALUE"""),"32GB")</f>
        <v>32GB</v>
      </c>
      <c r="J254" s="18">
        <v>1805.81</v>
      </c>
      <c r="K254" s="16">
        <v>3.0</v>
      </c>
      <c r="L254" s="18">
        <v>5417.43</v>
      </c>
      <c r="M254" s="16" t="s">
        <v>320</v>
      </c>
      <c r="N254" s="16" t="s">
        <v>321</v>
      </c>
      <c r="O254" s="16" t="s">
        <v>322</v>
      </c>
    </row>
    <row r="255" ht="15.75" customHeight="1">
      <c r="A255" s="23">
        <v>45546.0</v>
      </c>
      <c r="B255" s="16" t="s">
        <v>58</v>
      </c>
      <c r="C255" s="16" t="str">
        <f t="shared" si="1"/>
        <v>Guadalajara</v>
      </c>
      <c r="D255" s="16" t="str">
        <f t="shared" si="2"/>
        <v>Guadalajara</v>
      </c>
      <c r="E255" s="16" t="str">
        <f t="shared" si="3"/>
        <v>Guadalajara</v>
      </c>
      <c r="F255" s="16" t="s">
        <v>167</v>
      </c>
      <c r="G255" s="17" t="str">
        <f>IFERROR(__xludf.DUMMYFUNCTION("SPLIT(F255:F1254,""-"") "),"Auriculares")</f>
        <v>Auriculares</v>
      </c>
      <c r="H255" s="16" t="str">
        <f>IFERROR(__xludf.DUMMYFUNCTION("""COMPUTED_VALUE"""),"Bluetooth")</f>
        <v>Bluetooth</v>
      </c>
      <c r="I255" s="16" t="str">
        <f>IFERROR(__xludf.DUMMYFUNCTION("""COMPUTED_VALUE"""),"32GB")</f>
        <v>32GB</v>
      </c>
      <c r="J255" s="18">
        <v>1363.76</v>
      </c>
      <c r="K255" s="16">
        <v>4.0</v>
      </c>
      <c r="L255" s="18">
        <v>5455.04</v>
      </c>
      <c r="M255" s="16" t="s">
        <v>2548</v>
      </c>
      <c r="N255" s="16" t="s">
        <v>2549</v>
      </c>
      <c r="O255" s="16" t="s">
        <v>2550</v>
      </c>
    </row>
    <row r="256" ht="15.75" customHeight="1">
      <c r="A256" s="19">
        <v>45644.0</v>
      </c>
      <c r="B256" s="16" t="s">
        <v>9</v>
      </c>
      <c r="C256" s="16" t="str">
        <f t="shared" si="1"/>
        <v>Monterrey</v>
      </c>
      <c r="D256" s="16" t="str">
        <f t="shared" si="2"/>
        <v>Monterrey</v>
      </c>
      <c r="E256" s="16" t="str">
        <f t="shared" si="3"/>
        <v>Monterrey</v>
      </c>
      <c r="F256" s="16" t="s">
        <v>292</v>
      </c>
      <c r="G256" s="17" t="str">
        <f>IFERROR(__xludf.DUMMYFUNCTION("SPLIT(F256:F1255,""-"") "),"Teléfono")</f>
        <v>Teléfono</v>
      </c>
      <c r="H256" s="16" t="str">
        <f>IFERROR(__xludf.DUMMYFUNCTION("""COMPUTED_VALUE"""),"Gama alta")</f>
        <v>Gama alta</v>
      </c>
      <c r="I256" s="16" t="str">
        <f>IFERROR(__xludf.DUMMYFUNCTION("""COMPUTED_VALUE"""),"16GB")</f>
        <v>16GB</v>
      </c>
      <c r="J256" s="18">
        <v>1405.61</v>
      </c>
      <c r="K256" s="16">
        <v>5.0</v>
      </c>
      <c r="L256" s="18">
        <v>7028.05</v>
      </c>
      <c r="M256" s="16" t="s">
        <v>1945</v>
      </c>
      <c r="N256" s="16" t="s">
        <v>1946</v>
      </c>
      <c r="O256" s="16" t="s">
        <v>1947</v>
      </c>
    </row>
    <row r="257" ht="15.75" customHeight="1">
      <c r="A257" s="23">
        <v>45608.0</v>
      </c>
      <c r="B257" s="16" t="s">
        <v>35</v>
      </c>
      <c r="C257" s="16" t="str">
        <f t="shared" si="1"/>
        <v>Medellín</v>
      </c>
      <c r="D257" s="16" t="str">
        <f t="shared" si="2"/>
        <v>Medellín</v>
      </c>
      <c r="E257" s="16" t="str">
        <f t="shared" si="3"/>
        <v>Medellín</v>
      </c>
      <c r="F257" s="16" t="s">
        <v>15</v>
      </c>
      <c r="G257" s="17" t="str">
        <f>IFERROR(__xludf.DUMMYFUNCTION("SPLIT(F257:F1256,""-"") "),"Auriculares")</f>
        <v>Auriculares</v>
      </c>
      <c r="H257" s="16" t="str">
        <f>IFERROR(__xludf.DUMMYFUNCTION("""COMPUTED_VALUE"""),"Con cable")</f>
        <v>Con cable</v>
      </c>
      <c r="I257" s="16" t="str">
        <f>IFERROR(__xludf.DUMMYFUNCTION("""COMPUTED_VALUE"""),"32GB")</f>
        <v>32GB</v>
      </c>
      <c r="J257" s="18">
        <v>100.98</v>
      </c>
      <c r="K257" s="16">
        <v>3.0</v>
      </c>
      <c r="L257" s="18">
        <v>302.94</v>
      </c>
      <c r="M257" s="16" t="s">
        <v>1003</v>
      </c>
      <c r="N257" s="16" t="s">
        <v>1004</v>
      </c>
      <c r="O257" s="16" t="s">
        <v>1005</v>
      </c>
    </row>
    <row r="258" ht="15.75" customHeight="1">
      <c r="A258" s="19">
        <v>45655.0</v>
      </c>
      <c r="B258" s="16" t="s">
        <v>14</v>
      </c>
      <c r="C258" s="16" t="str">
        <f t="shared" si="1"/>
        <v>Bogotá</v>
      </c>
      <c r="D258" s="16" t="str">
        <f t="shared" si="2"/>
        <v>Bogotá</v>
      </c>
      <c r="E258" s="16" t="str">
        <f t="shared" si="3"/>
        <v>Bogotá</v>
      </c>
      <c r="F258" s="16" t="s">
        <v>171</v>
      </c>
      <c r="G258" s="17" t="str">
        <f>IFERROR(__xludf.DUMMYFUNCTION("SPLIT(F258:F1257,""-"") "),"Teléfono")</f>
        <v>Teléfono</v>
      </c>
      <c r="H258" s="16" t="str">
        <f>IFERROR(__xludf.DUMMYFUNCTION("""COMPUTED_VALUE"""),"Gama baja")</f>
        <v>Gama baja</v>
      </c>
      <c r="I258" s="16" t="str">
        <f>IFERROR(__xludf.DUMMYFUNCTION("""COMPUTED_VALUE"""),"4GB")</f>
        <v>4GB</v>
      </c>
      <c r="J258" s="18">
        <v>401.92</v>
      </c>
      <c r="K258" s="16">
        <v>3.0</v>
      </c>
      <c r="L258" s="18">
        <v>1205.76</v>
      </c>
      <c r="M258" s="16" t="s">
        <v>2279</v>
      </c>
      <c r="N258" s="16" t="s">
        <v>2280</v>
      </c>
      <c r="O258" s="16" t="s">
        <v>2281</v>
      </c>
    </row>
    <row r="259" ht="15.75" customHeight="1">
      <c r="A259" s="19">
        <v>45614.0</v>
      </c>
      <c r="B259" s="16" t="s">
        <v>14</v>
      </c>
      <c r="C259" s="16" t="str">
        <f t="shared" si="1"/>
        <v>Bogotá</v>
      </c>
      <c r="D259" s="16" t="str">
        <f t="shared" si="2"/>
        <v>Bogotá</v>
      </c>
      <c r="E259" s="16" t="str">
        <f t="shared" si="3"/>
        <v>Bogotá</v>
      </c>
      <c r="F259" s="16" t="s">
        <v>344</v>
      </c>
      <c r="G259" s="17" t="str">
        <f>IFERROR(__xludf.DUMMYFUNCTION("SPLIT(F259:F1258,""-"") "),"Laptop")</f>
        <v>Laptop</v>
      </c>
      <c r="H259" s="16" t="str">
        <f>IFERROR(__xludf.DUMMYFUNCTION("""COMPUTED_VALUE"""),"Ultraliviana")</f>
        <v>Ultraliviana</v>
      </c>
      <c r="I259" s="16" t="str">
        <f>IFERROR(__xludf.DUMMYFUNCTION("""COMPUTED_VALUE"""),"8GB")</f>
        <v>8GB</v>
      </c>
      <c r="J259" s="18">
        <v>890.76</v>
      </c>
      <c r="K259" s="16">
        <v>2.0</v>
      </c>
      <c r="L259" s="18">
        <v>1781.52</v>
      </c>
      <c r="M259" s="16" t="s">
        <v>1239</v>
      </c>
      <c r="N259" s="16" t="s">
        <v>1240</v>
      </c>
      <c r="O259" s="16" t="s">
        <v>1241</v>
      </c>
    </row>
    <row r="260" ht="15.75" customHeight="1">
      <c r="A260" s="19">
        <v>45655.0</v>
      </c>
      <c r="B260" s="16" t="s">
        <v>14</v>
      </c>
      <c r="C260" s="16" t="str">
        <f t="shared" si="1"/>
        <v>Bogotá</v>
      </c>
      <c r="D260" s="16" t="str">
        <f t="shared" si="2"/>
        <v>Bogotá</v>
      </c>
      <c r="E260" s="16" t="str">
        <f t="shared" si="3"/>
        <v>Bogotá</v>
      </c>
      <c r="F260" s="16" t="s">
        <v>125</v>
      </c>
      <c r="G260" s="17" t="str">
        <f>IFERROR(__xludf.DUMMYFUNCTION("SPLIT(F260:F1259,""-"") "),"Tel√©fono")</f>
        <v>Tel√©fono</v>
      </c>
      <c r="H260" s="16" t="str">
        <f>IFERROR(__xludf.DUMMYFUNCTION("""COMPUTED_VALUE"""),"Gama media")</f>
        <v>Gama media</v>
      </c>
      <c r="I260" s="16" t="str">
        <f>IFERROR(__xludf.DUMMYFUNCTION("""COMPUTED_VALUE"""),"8GB")</f>
        <v>8GB</v>
      </c>
      <c r="J260" s="18">
        <v>989.79</v>
      </c>
      <c r="K260" s="16">
        <v>5.0</v>
      </c>
      <c r="L260" s="18">
        <v>4948.95</v>
      </c>
      <c r="M260" s="16" t="s">
        <v>2282</v>
      </c>
      <c r="N260" s="16" t="s">
        <v>2283</v>
      </c>
      <c r="O260" s="16" t="s">
        <v>2284</v>
      </c>
    </row>
    <row r="261" ht="15.75" customHeight="1">
      <c r="A261" s="19">
        <v>45612.0</v>
      </c>
      <c r="B261" s="16" t="s">
        <v>2359</v>
      </c>
      <c r="C261" s="16" t="str">
        <f t="shared" si="1"/>
        <v>Ciudad De M√©Xico</v>
      </c>
      <c r="D261" s="16" t="str">
        <f t="shared" si="2"/>
        <v>Ciudad De M√©Xico</v>
      </c>
      <c r="E261" s="16" t="str">
        <f t="shared" si="3"/>
        <v>Ciudad De MéXico</v>
      </c>
      <c r="F261" s="16" t="s">
        <v>67</v>
      </c>
      <c r="G261" s="17" t="str">
        <f>IFERROR(__xludf.DUMMYFUNCTION("SPLIT(F261:F1260,""-"") "),"Tablet")</f>
        <v>Tablet</v>
      </c>
      <c r="H261" s="16" t="str">
        <f>IFERROR(__xludf.DUMMYFUNCTION("""COMPUTED_VALUE"""),"Estándar")</f>
        <v>Estándar</v>
      </c>
      <c r="I261" s="16" t="str">
        <f>IFERROR(__xludf.DUMMYFUNCTION("""COMPUTED_VALUE"""),"4GB")</f>
        <v>4GB</v>
      </c>
      <c r="J261" s="18">
        <v>1137.01</v>
      </c>
      <c r="K261" s="16">
        <v>3.0</v>
      </c>
      <c r="L261" s="18">
        <v>3411.03</v>
      </c>
      <c r="M261" s="16" t="s">
        <v>1152</v>
      </c>
      <c r="N261" s="16" t="s">
        <v>1153</v>
      </c>
      <c r="O261" s="16" t="s">
        <v>1154</v>
      </c>
    </row>
    <row r="262" ht="15.75" customHeight="1">
      <c r="A262" s="23">
        <v>45637.0</v>
      </c>
      <c r="B262" s="16" t="s">
        <v>14</v>
      </c>
      <c r="C262" s="16" t="str">
        <f t="shared" si="1"/>
        <v>Bogotá</v>
      </c>
      <c r="D262" s="16" t="str">
        <f t="shared" si="2"/>
        <v>Bogotá</v>
      </c>
      <c r="E262" s="16" t="str">
        <f t="shared" si="3"/>
        <v>Bogotá</v>
      </c>
      <c r="F262" s="16" t="s">
        <v>282</v>
      </c>
      <c r="G262" s="17" t="str">
        <f>IFERROR(__xludf.DUMMYFUNCTION("SPLIT(F262:F1261,""-"") "),"Tablet")</f>
        <v>Tablet</v>
      </c>
      <c r="H262" s="16" t="str">
        <f>IFERROR(__xludf.DUMMYFUNCTION("""COMPUTED_VALUE"""),"Pro")</f>
        <v>Pro</v>
      </c>
      <c r="I262" s="16" t="str">
        <f>IFERROR(__xludf.DUMMYFUNCTION("""COMPUTED_VALUE"""),"16GB")</f>
        <v>16GB</v>
      </c>
      <c r="J262" s="18">
        <v>273.29</v>
      </c>
      <c r="K262" s="16">
        <v>5.0</v>
      </c>
      <c r="L262" s="18">
        <v>1366.45</v>
      </c>
      <c r="M262" s="16" t="s">
        <v>1766</v>
      </c>
      <c r="N262" s="16" t="s">
        <v>1767</v>
      </c>
      <c r="O262" s="16" t="s">
        <v>1768</v>
      </c>
    </row>
    <row r="263" ht="15.75" customHeight="1">
      <c r="A263" s="23">
        <v>45424.0</v>
      </c>
      <c r="B263" s="16" t="s">
        <v>2359</v>
      </c>
      <c r="C263" s="16" t="str">
        <f t="shared" si="1"/>
        <v>Ciudad De M√©Xico</v>
      </c>
      <c r="D263" s="16" t="str">
        <f t="shared" si="2"/>
        <v>Ciudad De M√©Xico</v>
      </c>
      <c r="E263" s="16" t="str">
        <f t="shared" si="3"/>
        <v>Ciudad De MéXico</v>
      </c>
      <c r="F263" s="16" t="s">
        <v>125</v>
      </c>
      <c r="G263" s="17" t="str">
        <f>IFERROR(__xludf.DUMMYFUNCTION("SPLIT(F263:F1262,""-"") "),"Tel√©fono")</f>
        <v>Tel√©fono</v>
      </c>
      <c r="H263" s="16" t="str">
        <f>IFERROR(__xludf.DUMMYFUNCTION("""COMPUTED_VALUE"""),"Gama media")</f>
        <v>Gama media</v>
      </c>
      <c r="I263" s="16" t="str">
        <f>IFERROR(__xludf.DUMMYFUNCTION("""COMPUTED_VALUE"""),"8GB")</f>
        <v>8GB</v>
      </c>
      <c r="J263" s="18">
        <v>233.33</v>
      </c>
      <c r="K263" s="16">
        <v>3.0</v>
      </c>
      <c r="L263" s="18">
        <v>699.99</v>
      </c>
      <c r="M263" s="16" t="s">
        <v>2551</v>
      </c>
      <c r="N263" s="16" t="s">
        <v>2552</v>
      </c>
      <c r="O263" s="16" t="s">
        <v>2553</v>
      </c>
    </row>
    <row r="264" ht="15.75" customHeight="1">
      <c r="A264" s="19">
        <v>45651.0</v>
      </c>
      <c r="B264" s="16" t="s">
        <v>75</v>
      </c>
      <c r="C264" s="16" t="str">
        <f t="shared" si="1"/>
        <v>Cali</v>
      </c>
      <c r="D264" s="16" t="str">
        <f t="shared" si="2"/>
        <v>Cali</v>
      </c>
      <c r="E264" s="16" t="str">
        <f t="shared" si="3"/>
        <v>Cali</v>
      </c>
      <c r="F264" s="16" t="s">
        <v>139</v>
      </c>
      <c r="G264" s="17" t="str">
        <f>IFERROR(__xludf.DUMMYFUNCTION("SPLIT(F264:F1263,""-"") "),"Auriculares")</f>
        <v>Auriculares</v>
      </c>
      <c r="H264" s="16" t="str">
        <f>IFERROR(__xludf.DUMMYFUNCTION("""COMPUTED_VALUE"""),"Con cable")</f>
        <v>Con cable</v>
      </c>
      <c r="I264" s="16" t="str">
        <f>IFERROR(__xludf.DUMMYFUNCTION("""COMPUTED_VALUE"""),"16GB")</f>
        <v>16GB</v>
      </c>
      <c r="J264" s="18">
        <v>228.56</v>
      </c>
      <c r="K264" s="16">
        <v>3.0</v>
      </c>
      <c r="L264" s="18">
        <v>685.68</v>
      </c>
      <c r="M264" s="16" t="s">
        <v>2165</v>
      </c>
      <c r="N264" s="16" t="s">
        <v>2166</v>
      </c>
      <c r="O264" s="16" t="s">
        <v>2167</v>
      </c>
    </row>
    <row r="265" ht="15.75" customHeight="1">
      <c r="A265" s="23">
        <v>45577.0</v>
      </c>
      <c r="B265" s="16" t="s">
        <v>75</v>
      </c>
      <c r="C265" s="16" t="str">
        <f t="shared" si="1"/>
        <v>Cali</v>
      </c>
      <c r="D265" s="16" t="str">
        <f t="shared" si="2"/>
        <v>Cali</v>
      </c>
      <c r="E265" s="16" t="str">
        <f t="shared" si="3"/>
        <v>Cali</v>
      </c>
      <c r="F265" s="16" t="s">
        <v>167</v>
      </c>
      <c r="G265" s="17" t="str">
        <f>IFERROR(__xludf.DUMMYFUNCTION("SPLIT(F265:F1264,""-"") "),"Auriculares")</f>
        <v>Auriculares</v>
      </c>
      <c r="H265" s="16" t="str">
        <f>IFERROR(__xludf.DUMMYFUNCTION("""COMPUTED_VALUE"""),"Bluetooth")</f>
        <v>Bluetooth</v>
      </c>
      <c r="I265" s="16" t="str">
        <f>IFERROR(__xludf.DUMMYFUNCTION("""COMPUTED_VALUE"""),"32GB")</f>
        <v>32GB</v>
      </c>
      <c r="J265" s="18">
        <v>1277.75</v>
      </c>
      <c r="K265" s="16">
        <v>1.0</v>
      </c>
      <c r="L265" s="18">
        <v>1277.75</v>
      </c>
      <c r="M265" s="16" t="s">
        <v>168</v>
      </c>
      <c r="N265" s="16" t="s">
        <v>169</v>
      </c>
      <c r="O265" s="16" t="s">
        <v>170</v>
      </c>
    </row>
    <row r="266" ht="15.75" customHeight="1">
      <c r="A266" s="19">
        <v>45624.0</v>
      </c>
      <c r="B266" s="16" t="s">
        <v>2359</v>
      </c>
      <c r="C266" s="16" t="str">
        <f t="shared" si="1"/>
        <v>Ciudad De M√©Xico</v>
      </c>
      <c r="D266" s="16" t="str">
        <f t="shared" si="2"/>
        <v>Ciudad De M√©Xico</v>
      </c>
      <c r="E266" s="16" t="str">
        <f t="shared" si="3"/>
        <v>Ciudad De MéXico</v>
      </c>
      <c r="F266" s="16" t="s">
        <v>259</v>
      </c>
      <c r="G266" s="17" t="str">
        <f>IFERROR(__xludf.DUMMYFUNCTION("SPLIT(F266:F1265,""-"") "),"Auriculares")</f>
        <v>Auriculares</v>
      </c>
      <c r="H266" s="16" t="str">
        <f>IFERROR(__xludf.DUMMYFUNCTION("""COMPUTED_VALUE"""),"Cancelación de ruido")</f>
        <v>Cancelación de ruido</v>
      </c>
      <c r="I266" s="16" t="str">
        <f>IFERROR(__xludf.DUMMYFUNCTION("""COMPUTED_VALUE"""),"8GB")</f>
        <v>8GB</v>
      </c>
      <c r="J266" s="18">
        <v>2087.73</v>
      </c>
      <c r="K266" s="16">
        <v>1.0</v>
      </c>
      <c r="L266" s="22">
        <f>J266*K266</f>
        <v>2087.73</v>
      </c>
      <c r="M266" s="16" t="s">
        <v>1565</v>
      </c>
      <c r="N266" s="16" t="s">
        <v>1566</v>
      </c>
      <c r="O266" s="16" t="s">
        <v>1567</v>
      </c>
    </row>
    <row r="267" ht="15.75" customHeight="1">
      <c r="A267" s="19">
        <v>45582.0</v>
      </c>
      <c r="B267" s="16" t="s">
        <v>9</v>
      </c>
      <c r="C267" s="16" t="str">
        <f t="shared" si="1"/>
        <v>Monterrey</v>
      </c>
      <c r="D267" s="16" t="str">
        <f t="shared" si="2"/>
        <v>Monterrey</v>
      </c>
      <c r="E267" s="16" t="str">
        <f t="shared" si="3"/>
        <v>Monterrey</v>
      </c>
      <c r="F267" s="16" t="s">
        <v>85</v>
      </c>
      <c r="G267" s="17" t="str">
        <f>IFERROR(__xludf.DUMMYFUNCTION("SPLIT(F267:F1266,""-"") "),"Teléfono")</f>
        <v>Teléfono</v>
      </c>
      <c r="H267" s="16" t="str">
        <f>IFERROR(__xludf.DUMMYFUNCTION("""COMPUTED_VALUE"""),"Gama media")</f>
        <v>Gama media</v>
      </c>
      <c r="I267" s="16" t="str">
        <f>IFERROR(__xludf.DUMMYFUNCTION("""COMPUTED_VALUE"""),"32GB")</f>
        <v>32GB</v>
      </c>
      <c r="J267" s="18">
        <v>1937.4</v>
      </c>
      <c r="K267" s="16">
        <v>2.0</v>
      </c>
      <c r="L267" s="18">
        <v>3874.8</v>
      </c>
      <c r="M267" s="16" t="s">
        <v>354</v>
      </c>
      <c r="N267" s="16" t="s">
        <v>355</v>
      </c>
      <c r="O267" s="16" t="s">
        <v>356</v>
      </c>
    </row>
    <row r="268" ht="15.75" customHeight="1">
      <c r="A268" s="19">
        <v>45620.0</v>
      </c>
      <c r="B268" s="16" t="s">
        <v>9</v>
      </c>
      <c r="C268" s="16" t="str">
        <f t="shared" si="1"/>
        <v>Monterrey</v>
      </c>
      <c r="D268" s="16" t="str">
        <f t="shared" si="2"/>
        <v>Monterrey</v>
      </c>
      <c r="E268" s="16" t="str">
        <f t="shared" si="3"/>
        <v>Monterrey</v>
      </c>
      <c r="F268" s="16" t="s">
        <v>229</v>
      </c>
      <c r="G268" s="17" t="str">
        <f>IFERROR(__xludf.DUMMYFUNCTION("SPLIT(F268:F1267,""-"") "),"Laptop")</f>
        <v>Laptop</v>
      </c>
      <c r="H268" s="16" t="str">
        <f>IFERROR(__xludf.DUMMYFUNCTION("""COMPUTED_VALUE"""),"Oficina")</f>
        <v>Oficina</v>
      </c>
      <c r="I268" s="16" t="str">
        <f>IFERROR(__xludf.DUMMYFUNCTION("""COMPUTED_VALUE"""),"4GB")</f>
        <v>4GB</v>
      </c>
      <c r="J268" s="18">
        <v>1628.77</v>
      </c>
      <c r="K268" s="16">
        <v>4.0</v>
      </c>
      <c r="L268" s="18">
        <v>6515.08</v>
      </c>
      <c r="M268" s="16" t="s">
        <v>1438</v>
      </c>
      <c r="N268" s="16" t="s">
        <v>1439</v>
      </c>
      <c r="O268" s="16" t="s">
        <v>1440</v>
      </c>
    </row>
    <row r="269" ht="15.75" customHeight="1">
      <c r="A269" s="19">
        <v>45589.0</v>
      </c>
      <c r="B269" s="16" t="s">
        <v>35</v>
      </c>
      <c r="C269" s="16" t="str">
        <f t="shared" si="1"/>
        <v>Medellín</v>
      </c>
      <c r="D269" s="16" t="str">
        <f t="shared" si="2"/>
        <v>Medellín</v>
      </c>
      <c r="E269" s="16" t="str">
        <f t="shared" si="3"/>
        <v>Medellín</v>
      </c>
      <c r="F269" s="16" t="s">
        <v>373</v>
      </c>
      <c r="G269" s="17" t="str">
        <f>IFERROR(__xludf.DUMMYFUNCTION("SPLIT(F269:F1268,""-"") "),"Teléfono")</f>
        <v>Teléfono</v>
      </c>
      <c r="H269" s="16" t="str">
        <f>IFERROR(__xludf.DUMMYFUNCTION("""COMPUTED_VALUE"""),"Gama media")</f>
        <v>Gama media</v>
      </c>
      <c r="I269" s="16" t="str">
        <f>IFERROR(__xludf.DUMMYFUNCTION("""COMPUTED_VALUE"""),"16GB")</f>
        <v>16GB</v>
      </c>
      <c r="J269" s="18">
        <v>747.11</v>
      </c>
      <c r="K269" s="16">
        <v>5.0</v>
      </c>
      <c r="L269" s="18">
        <v>3735.55</v>
      </c>
      <c r="M269" s="16" t="s">
        <v>584</v>
      </c>
      <c r="N269" s="16" t="s">
        <v>585</v>
      </c>
      <c r="O269" s="16" t="s">
        <v>586</v>
      </c>
    </row>
    <row r="270" ht="15.75" customHeight="1">
      <c r="A270" s="23">
        <v>45606.0</v>
      </c>
      <c r="B270" s="16" t="s">
        <v>14</v>
      </c>
      <c r="C270" s="16" t="str">
        <f t="shared" si="1"/>
        <v>Bogotá</v>
      </c>
      <c r="D270" s="16" t="str">
        <f t="shared" si="2"/>
        <v>Bogotá</v>
      </c>
      <c r="E270" s="16" t="str">
        <f t="shared" si="3"/>
        <v>Bogotá</v>
      </c>
      <c r="F270" s="16" t="s">
        <v>71</v>
      </c>
      <c r="G270" s="17" t="str">
        <f>IFERROR(__xludf.DUMMYFUNCTION("SPLIT(F270:F1269,""-"") "),"Auriculares")</f>
        <v>Auriculares</v>
      </c>
      <c r="H270" s="16" t="str">
        <f>IFERROR(__xludf.DUMMYFUNCTION("""COMPUTED_VALUE"""),"Bluetooth")</f>
        <v>Bluetooth</v>
      </c>
      <c r="I270" s="16" t="str">
        <f>IFERROR(__xludf.DUMMYFUNCTION("""COMPUTED_VALUE"""),"16GB")</f>
        <v>16GB</v>
      </c>
      <c r="J270" s="18">
        <v>596.93</v>
      </c>
      <c r="K270" s="16">
        <v>5.0</v>
      </c>
      <c r="L270" s="18">
        <v>2984.65</v>
      </c>
      <c r="M270" s="16" t="s">
        <v>939</v>
      </c>
      <c r="N270" s="16" t="s">
        <v>940</v>
      </c>
      <c r="O270" s="16" t="s">
        <v>941</v>
      </c>
    </row>
    <row r="271" ht="15.75" customHeight="1">
      <c r="A271" s="23">
        <v>45362.0</v>
      </c>
      <c r="B271" s="16" t="s">
        <v>9</v>
      </c>
      <c r="C271" s="16" t="str">
        <f t="shared" si="1"/>
        <v>Monterrey</v>
      </c>
      <c r="D271" s="16" t="str">
        <f t="shared" si="2"/>
        <v>Monterrey</v>
      </c>
      <c r="E271" s="16" t="str">
        <f t="shared" si="3"/>
        <v>Monterrey</v>
      </c>
      <c r="F271" s="16" t="s">
        <v>40</v>
      </c>
      <c r="G271" s="17" t="str">
        <f>IFERROR(__xludf.DUMMYFUNCTION("SPLIT(F271:F1270,""-"") "),"Auriculares")</f>
        <v>Auriculares</v>
      </c>
      <c r="H271" s="16" t="str">
        <f>IFERROR(__xludf.DUMMYFUNCTION("""COMPUTED_VALUE"""),"Con cable")</f>
        <v>Con cable</v>
      </c>
      <c r="I271" s="16" t="str">
        <f>IFERROR(__xludf.DUMMYFUNCTION("""COMPUTED_VALUE"""),"8GB")</f>
        <v>8GB</v>
      </c>
      <c r="J271" s="18">
        <v>1691.93</v>
      </c>
      <c r="K271" s="16">
        <v>1.0</v>
      </c>
      <c r="L271" s="18">
        <v>1691.93</v>
      </c>
      <c r="M271" s="16" t="s">
        <v>2554</v>
      </c>
      <c r="N271" s="16" t="s">
        <v>2555</v>
      </c>
      <c r="O271" s="16" t="s">
        <v>2556</v>
      </c>
    </row>
    <row r="272" ht="15.75" customHeight="1">
      <c r="A272" s="23">
        <v>45485.0</v>
      </c>
      <c r="B272" s="16" t="s">
        <v>14</v>
      </c>
      <c r="C272" s="16" t="str">
        <f t="shared" si="1"/>
        <v>Bogotá</v>
      </c>
      <c r="D272" s="16" t="str">
        <f t="shared" si="2"/>
        <v>Bogotá</v>
      </c>
      <c r="E272" s="16" t="str">
        <f t="shared" si="3"/>
        <v>Bogotá</v>
      </c>
      <c r="F272" s="16" t="s">
        <v>90</v>
      </c>
      <c r="G272" s="17" t="str">
        <f>IFERROR(__xludf.DUMMYFUNCTION("SPLIT(F272:F1271,""-"") "),"Laptop")</f>
        <v>Laptop</v>
      </c>
      <c r="H272" s="16" t="str">
        <f>IFERROR(__xludf.DUMMYFUNCTION("""COMPUTED_VALUE"""),"Gaming")</f>
        <v>Gaming</v>
      </c>
      <c r="I272" s="16" t="str">
        <f>IFERROR(__xludf.DUMMYFUNCTION("""COMPUTED_VALUE"""),"32GB")</f>
        <v>32GB</v>
      </c>
      <c r="J272" s="18">
        <v>2043.06</v>
      </c>
      <c r="K272" s="16">
        <v>2.0</v>
      </c>
      <c r="L272" s="18">
        <v>4086.12</v>
      </c>
      <c r="M272" s="16" t="s">
        <v>2557</v>
      </c>
      <c r="N272" s="16" t="s">
        <v>2558</v>
      </c>
      <c r="O272" s="16" t="s">
        <v>2559</v>
      </c>
    </row>
    <row r="273" ht="15.75" customHeight="1">
      <c r="A273" s="24">
        <v>45601.0</v>
      </c>
      <c r="B273" s="16" t="s">
        <v>89</v>
      </c>
      <c r="C273" s="16" t="str">
        <f t="shared" si="1"/>
        <v>Tulum</v>
      </c>
      <c r="D273" s="16" t="str">
        <f t="shared" si="2"/>
        <v>Tulum</v>
      </c>
      <c r="E273" s="16" t="str">
        <f t="shared" si="3"/>
        <v>Tulum</v>
      </c>
      <c r="F273" s="16" t="s">
        <v>225</v>
      </c>
      <c r="G273" s="17" t="str">
        <f>IFERROR(__xludf.DUMMYFUNCTION("SPLIT(F273:F1272,""-"") "),"Laptop")</f>
        <v>Laptop</v>
      </c>
      <c r="H273" s="16" t="str">
        <f>IFERROR(__xludf.DUMMYFUNCTION("""COMPUTED_VALUE"""),"Gaming")</f>
        <v>Gaming</v>
      </c>
      <c r="I273" s="16" t="str">
        <f>IFERROR(__xludf.DUMMYFUNCTION("""COMPUTED_VALUE"""),"16GB")</f>
        <v>16GB</v>
      </c>
      <c r="J273" s="18">
        <v>808.32</v>
      </c>
      <c r="K273" s="16">
        <v>4.0</v>
      </c>
      <c r="L273" s="18">
        <v>3233.28</v>
      </c>
      <c r="M273" s="16" t="s">
        <v>852</v>
      </c>
      <c r="N273" s="16" t="s">
        <v>853</v>
      </c>
      <c r="O273" s="16" t="s">
        <v>854</v>
      </c>
    </row>
    <row r="274" ht="15.75" customHeight="1">
      <c r="A274" s="19">
        <v>45579.0</v>
      </c>
      <c r="B274" s="16" t="s">
        <v>14</v>
      </c>
      <c r="C274" s="16" t="str">
        <f t="shared" si="1"/>
        <v>Bogotá</v>
      </c>
      <c r="D274" s="16" t="str">
        <f t="shared" si="2"/>
        <v>Bogotá</v>
      </c>
      <c r="E274" s="16" t="str">
        <f t="shared" si="3"/>
        <v>Bogotá</v>
      </c>
      <c r="F274" s="16" t="s">
        <v>218</v>
      </c>
      <c r="G274" s="17" t="str">
        <f>IFERROR(__xludf.DUMMYFUNCTION("SPLIT(F274:F1273,""-"") "),"Teléfono")</f>
        <v>Teléfono</v>
      </c>
      <c r="H274" s="16" t="str">
        <f>IFERROR(__xludf.DUMMYFUNCTION("""COMPUTED_VALUE"""),"Gama media")</f>
        <v>Gama media</v>
      </c>
      <c r="I274" s="16" t="str">
        <f>IFERROR(__xludf.DUMMYFUNCTION("""COMPUTED_VALUE"""),"4GB")</f>
        <v>4GB</v>
      </c>
      <c r="J274" s="18">
        <v>2092.55</v>
      </c>
      <c r="K274" s="16">
        <v>5.0</v>
      </c>
      <c r="L274" s="18">
        <v>10462.75</v>
      </c>
      <c r="M274" s="16" t="s">
        <v>219</v>
      </c>
      <c r="N274" s="16" t="s">
        <v>220</v>
      </c>
      <c r="O274" s="16" t="s">
        <v>221</v>
      </c>
    </row>
    <row r="275" ht="15.75" customHeight="1">
      <c r="A275" s="19">
        <v>45642.0</v>
      </c>
      <c r="B275" s="16" t="s">
        <v>35</v>
      </c>
      <c r="C275" s="16" t="str">
        <f t="shared" si="1"/>
        <v>Medellín</v>
      </c>
      <c r="D275" s="16" t="str">
        <f t="shared" si="2"/>
        <v>Medellín</v>
      </c>
      <c r="E275" s="16" t="str">
        <f t="shared" si="3"/>
        <v>Medellín</v>
      </c>
      <c r="F275" s="16" t="s">
        <v>218</v>
      </c>
      <c r="G275" s="17" t="str">
        <f>IFERROR(__xludf.DUMMYFUNCTION("SPLIT(F275:F1274,""-"") "),"Teléfono")</f>
        <v>Teléfono</v>
      </c>
      <c r="H275" s="16" t="str">
        <f>IFERROR(__xludf.DUMMYFUNCTION("""COMPUTED_VALUE"""),"Gama media")</f>
        <v>Gama media</v>
      </c>
      <c r="I275" s="16" t="str">
        <f>IFERROR(__xludf.DUMMYFUNCTION("""COMPUTED_VALUE"""),"4GB")</f>
        <v>4GB</v>
      </c>
      <c r="J275" s="18">
        <v>785.82</v>
      </c>
      <c r="K275" s="16">
        <v>2.0</v>
      </c>
      <c r="L275" s="18">
        <v>1571.64</v>
      </c>
      <c r="M275" s="16" t="s">
        <v>1888</v>
      </c>
      <c r="N275" s="16" t="s">
        <v>1889</v>
      </c>
      <c r="O275" s="16" t="s">
        <v>1890</v>
      </c>
    </row>
    <row r="276" ht="15.75" customHeight="1">
      <c r="A276" s="19">
        <v>45623.0</v>
      </c>
      <c r="B276" s="16" t="s">
        <v>9</v>
      </c>
      <c r="C276" s="16" t="str">
        <f t="shared" si="1"/>
        <v>Monterrey</v>
      </c>
      <c r="D276" s="16" t="str">
        <f t="shared" si="2"/>
        <v>Monterrey</v>
      </c>
      <c r="E276" s="16" t="str">
        <f t="shared" si="3"/>
        <v>Monterrey</v>
      </c>
      <c r="F276" s="16" t="s">
        <v>10</v>
      </c>
      <c r="G276" s="17" t="str">
        <f>IFERROR(__xludf.DUMMYFUNCTION("SPLIT(F276:F1275,""-"") "),"Tablet")</f>
        <v>Tablet</v>
      </c>
      <c r="H276" s="16" t="str">
        <f>IFERROR(__xludf.DUMMYFUNCTION("""COMPUTED_VALUE"""),"Estándar")</f>
        <v>Estándar</v>
      </c>
      <c r="I276" s="16" t="str">
        <f>IFERROR(__xludf.DUMMYFUNCTION("""COMPUTED_VALUE"""),"8GB")</f>
        <v>8GB</v>
      </c>
      <c r="J276" s="18">
        <v>2014.33</v>
      </c>
      <c r="K276" s="16">
        <v>4.0</v>
      </c>
      <c r="L276" s="18">
        <v>8057.32</v>
      </c>
      <c r="M276" s="16" t="s">
        <v>1541</v>
      </c>
      <c r="N276" s="16" t="s">
        <v>1542</v>
      </c>
      <c r="O276" s="16" t="s">
        <v>1543</v>
      </c>
    </row>
    <row r="277" ht="15.75" customHeight="1">
      <c r="A277" s="19">
        <v>45589.0</v>
      </c>
      <c r="B277" s="16" t="s">
        <v>2359</v>
      </c>
      <c r="C277" s="16" t="str">
        <f t="shared" si="1"/>
        <v>Ciudad De M√©Xico</v>
      </c>
      <c r="D277" s="16" t="str">
        <f t="shared" si="2"/>
        <v>Ciudad De M√©Xico</v>
      </c>
      <c r="E277" s="16" t="str">
        <f t="shared" si="3"/>
        <v>Ciudad De MéXico</v>
      </c>
      <c r="F277" s="16" t="s">
        <v>10</v>
      </c>
      <c r="G277" s="17" t="str">
        <f>IFERROR(__xludf.DUMMYFUNCTION("SPLIT(F277:F1276,""-"") "),"Tablet")</f>
        <v>Tablet</v>
      </c>
      <c r="H277" s="16" t="str">
        <f>IFERROR(__xludf.DUMMYFUNCTION("""COMPUTED_VALUE"""),"Estándar")</f>
        <v>Estándar</v>
      </c>
      <c r="I277" s="16" t="str">
        <f>IFERROR(__xludf.DUMMYFUNCTION("""COMPUTED_VALUE"""),"8GB")</f>
        <v>8GB</v>
      </c>
      <c r="J277" s="18">
        <v>1030.99</v>
      </c>
      <c r="K277" s="16">
        <v>1.0</v>
      </c>
      <c r="L277" s="18">
        <v>1030.99</v>
      </c>
      <c r="M277" s="16" t="s">
        <v>587</v>
      </c>
      <c r="N277" s="16" t="s">
        <v>588</v>
      </c>
      <c r="O277" s="16" t="s">
        <v>589</v>
      </c>
    </row>
    <row r="278" ht="15.75" customHeight="1">
      <c r="A278" s="19">
        <v>45652.0</v>
      </c>
      <c r="B278" s="16" t="s">
        <v>2359</v>
      </c>
      <c r="C278" s="16" t="str">
        <f t="shared" si="1"/>
        <v>Ciudad De M√©Xico</v>
      </c>
      <c r="D278" s="16" t="str">
        <f t="shared" si="2"/>
        <v>Ciudad De M√©Xico</v>
      </c>
      <c r="E278" s="16" t="str">
        <f t="shared" si="3"/>
        <v>Ciudad De MéXico</v>
      </c>
      <c r="F278" s="16" t="s">
        <v>23</v>
      </c>
      <c r="G278" s="17" t="str">
        <f>IFERROR(__xludf.DUMMYFUNCTION("SPLIT(F278:F1277,""-"") "),"Tablet")</f>
        <v>Tablet</v>
      </c>
      <c r="H278" s="16" t="str">
        <f>IFERROR(__xludf.DUMMYFUNCTION("""COMPUTED_VALUE"""),"Estándar")</f>
        <v>Estándar</v>
      </c>
      <c r="I278" s="16" t="str">
        <f>IFERROR(__xludf.DUMMYFUNCTION("""COMPUTED_VALUE"""),"16GB")</f>
        <v>16GB</v>
      </c>
      <c r="J278" s="18">
        <v>658.24</v>
      </c>
      <c r="K278" s="16">
        <v>3.0</v>
      </c>
      <c r="L278" s="18">
        <v>1974.72</v>
      </c>
      <c r="M278" s="16" t="s">
        <v>2192</v>
      </c>
      <c r="N278" s="16" t="s">
        <v>2193</v>
      </c>
      <c r="O278" s="16" t="s">
        <v>2194</v>
      </c>
    </row>
    <row r="279" ht="15.75" customHeight="1">
      <c r="A279" s="19">
        <v>45647.0</v>
      </c>
      <c r="B279" s="16" t="s">
        <v>2044</v>
      </c>
      <c r="C279" s="16" t="str">
        <f t="shared" si="1"/>
        <v>Monterrey</v>
      </c>
      <c r="D279" s="16" t="str">
        <f t="shared" si="2"/>
        <v>Monterrey</v>
      </c>
      <c r="E279" s="16" t="str">
        <f t="shared" si="3"/>
        <v>Monterrey</v>
      </c>
      <c r="F279" s="16" t="s">
        <v>389</v>
      </c>
      <c r="G279" s="17" t="str">
        <f>IFERROR(__xludf.DUMMYFUNCTION("SPLIT(F279:F1278,""-"") "),"Auriculares")</f>
        <v>Auriculares</v>
      </c>
      <c r="H279" s="16" t="str">
        <f>IFERROR(__xludf.DUMMYFUNCTION("""COMPUTED_VALUE"""),"Cancelación de ruido")</f>
        <v>Cancelación de ruido</v>
      </c>
      <c r="I279" s="16" t="str">
        <f>IFERROR(__xludf.DUMMYFUNCTION("""COMPUTED_VALUE"""),"4GB")</f>
        <v>4GB</v>
      </c>
      <c r="J279" s="18">
        <v>1019.73</v>
      </c>
      <c r="K279" s="16">
        <v>2.0</v>
      </c>
      <c r="L279" s="18">
        <v>2039.46</v>
      </c>
      <c r="M279" s="16" t="s">
        <v>2045</v>
      </c>
      <c r="N279" s="16" t="s">
        <v>2046</v>
      </c>
      <c r="O279" s="16" t="s">
        <v>2047</v>
      </c>
    </row>
    <row r="280" ht="15.75" customHeight="1">
      <c r="A280" s="19">
        <v>45622.0</v>
      </c>
      <c r="B280" s="16" t="s">
        <v>75</v>
      </c>
      <c r="C280" s="16" t="str">
        <f t="shared" si="1"/>
        <v>Cali</v>
      </c>
      <c r="D280" s="16" t="str">
        <f t="shared" si="2"/>
        <v>Cali</v>
      </c>
      <c r="E280" s="16" t="str">
        <f t="shared" si="3"/>
        <v>Cali</v>
      </c>
      <c r="F280" s="16" t="s">
        <v>132</v>
      </c>
      <c r="G280" s="17" t="str">
        <f>IFERROR(__xludf.DUMMYFUNCTION("SPLIT(F280:F1279,""-"") "),"Tablet")</f>
        <v>Tablet</v>
      </c>
      <c r="H280" s="16" t="str">
        <f>IFERROR(__xludf.DUMMYFUNCTION("""COMPUTED_VALUE"""),"Pro")</f>
        <v>Pro</v>
      </c>
      <c r="I280" s="16" t="str">
        <f>IFERROR(__xludf.DUMMYFUNCTION("""COMPUTED_VALUE"""),"8GB")</f>
        <v>8GB</v>
      </c>
      <c r="J280" s="18">
        <v>664.21</v>
      </c>
      <c r="K280" s="16">
        <v>1.0</v>
      </c>
      <c r="L280" s="18">
        <v>664.21</v>
      </c>
      <c r="M280" s="16" t="s">
        <v>1511</v>
      </c>
      <c r="N280" s="16" t="s">
        <v>1512</v>
      </c>
      <c r="O280" s="16" t="s">
        <v>1513</v>
      </c>
    </row>
    <row r="281" ht="15.75" customHeight="1">
      <c r="A281" s="19">
        <v>45614.0</v>
      </c>
      <c r="B281" s="16" t="s">
        <v>9</v>
      </c>
      <c r="C281" s="16" t="str">
        <f t="shared" si="1"/>
        <v>Monterrey</v>
      </c>
      <c r="D281" s="16" t="str">
        <f t="shared" si="2"/>
        <v>Monterrey</v>
      </c>
      <c r="E281" s="16" t="str">
        <f t="shared" si="3"/>
        <v>Monterrey</v>
      </c>
      <c r="F281" s="16" t="s">
        <v>666</v>
      </c>
      <c r="G281" s="17" t="str">
        <f>IFERROR(__xludf.DUMMYFUNCTION("SPLIT(F281:F1280,""-"") "),"Auriculares")</f>
        <v>Auriculares</v>
      </c>
      <c r="H281" s="16" t="str">
        <f>IFERROR(__xludf.DUMMYFUNCTION("""COMPUTED_VALUE"""),"Cancelación de ruido")</f>
        <v>Cancelación de ruido</v>
      </c>
      <c r="I281" s="16" t="str">
        <f>IFERROR(__xludf.DUMMYFUNCTION("""COMPUTED_VALUE"""),"32GB")</f>
        <v>32GB</v>
      </c>
      <c r="J281" s="18">
        <v>1307.54</v>
      </c>
      <c r="K281" s="16">
        <v>1.0</v>
      </c>
      <c r="L281" s="18">
        <v>1307.54</v>
      </c>
      <c r="M281" s="16" t="s">
        <v>1242</v>
      </c>
      <c r="N281" s="16" t="s">
        <v>1243</v>
      </c>
      <c r="O281" s="16" t="s">
        <v>1244</v>
      </c>
    </row>
    <row r="282" ht="15.75" customHeight="1">
      <c r="A282" s="23">
        <v>45392.0</v>
      </c>
      <c r="B282" s="16" t="s">
        <v>75</v>
      </c>
      <c r="C282" s="16" t="str">
        <f t="shared" si="1"/>
        <v>Cali</v>
      </c>
      <c r="D282" s="16" t="str">
        <f t="shared" si="2"/>
        <v>Cali</v>
      </c>
      <c r="E282" s="16" t="str">
        <f t="shared" si="3"/>
        <v>Cali</v>
      </c>
      <c r="F282" s="16" t="s">
        <v>259</v>
      </c>
      <c r="G282" s="17" t="str">
        <f>IFERROR(__xludf.DUMMYFUNCTION("SPLIT(F282:F1281,""-"") "),"Auriculares")</f>
        <v>Auriculares</v>
      </c>
      <c r="H282" s="16" t="str">
        <f>IFERROR(__xludf.DUMMYFUNCTION("""COMPUTED_VALUE"""),"Cancelación de ruido")</f>
        <v>Cancelación de ruido</v>
      </c>
      <c r="I282" s="16" t="str">
        <f>IFERROR(__xludf.DUMMYFUNCTION("""COMPUTED_VALUE"""),"8GB")</f>
        <v>8GB</v>
      </c>
      <c r="J282" s="18">
        <v>1711.63</v>
      </c>
      <c r="K282" s="16">
        <v>4.0</v>
      </c>
      <c r="L282" s="18">
        <v>6846.52</v>
      </c>
      <c r="M282" s="16" t="s">
        <v>2560</v>
      </c>
      <c r="N282" s="16" t="s">
        <v>2561</v>
      </c>
      <c r="O282" s="16" t="s">
        <v>2562</v>
      </c>
    </row>
    <row r="283" ht="15.75" customHeight="1">
      <c r="A283" s="19">
        <v>45647.0</v>
      </c>
      <c r="B283" s="16" t="s">
        <v>2359</v>
      </c>
      <c r="C283" s="16" t="str">
        <f t="shared" si="1"/>
        <v>Ciudad De M√©Xico</v>
      </c>
      <c r="D283" s="16" t="str">
        <f t="shared" si="2"/>
        <v>Ciudad De M√©Xico</v>
      </c>
      <c r="E283" s="16" t="str">
        <f t="shared" si="3"/>
        <v>Ciudad De MéXico</v>
      </c>
      <c r="F283" s="16" t="s">
        <v>272</v>
      </c>
      <c r="G283" s="17" t="str">
        <f>IFERROR(__xludf.DUMMYFUNCTION("SPLIT(F283:F1282,""-"") "),"Teléfono")</f>
        <v>Teléfono</v>
      </c>
      <c r="H283" s="16" t="str">
        <f>IFERROR(__xludf.DUMMYFUNCTION("""COMPUTED_VALUE"""),"Gama baja")</f>
        <v>Gama baja</v>
      </c>
      <c r="I283" s="16" t="str">
        <f>IFERROR(__xludf.DUMMYFUNCTION("""COMPUTED_VALUE"""),"32GB")</f>
        <v>32GB</v>
      </c>
      <c r="J283" s="18">
        <v>1670.11</v>
      </c>
      <c r="K283" s="16">
        <v>3.0</v>
      </c>
      <c r="L283" s="18">
        <v>5010.33</v>
      </c>
      <c r="M283" s="16" t="s">
        <v>2048</v>
      </c>
      <c r="N283" s="16" t="s">
        <v>2049</v>
      </c>
      <c r="O283" s="16" t="s">
        <v>2050</v>
      </c>
    </row>
    <row r="284" ht="15.75" customHeight="1">
      <c r="A284" s="23">
        <v>45607.0</v>
      </c>
      <c r="B284" s="16" t="s">
        <v>14</v>
      </c>
      <c r="C284" s="16" t="str">
        <f t="shared" si="1"/>
        <v>Bogotá</v>
      </c>
      <c r="D284" s="16" t="str">
        <f t="shared" si="2"/>
        <v>Bogotá</v>
      </c>
      <c r="E284" s="16" t="str">
        <f t="shared" si="3"/>
        <v>Bogotá</v>
      </c>
      <c r="F284" s="16" t="s">
        <v>163</v>
      </c>
      <c r="G284" s="17" t="str">
        <f>IFERROR(__xludf.DUMMYFUNCTION("SPLIT(F284:F1283,""-"") "),"Laptop")</f>
        <v>Laptop</v>
      </c>
      <c r="H284" s="16" t="str">
        <f>IFERROR(__xludf.DUMMYFUNCTION("""COMPUTED_VALUE"""),"Oficina")</f>
        <v>Oficina</v>
      </c>
      <c r="I284" s="16" t="str">
        <f>IFERROR(__xludf.DUMMYFUNCTION("""COMPUTED_VALUE"""),"32GB")</f>
        <v>32GB</v>
      </c>
      <c r="J284" s="18">
        <v>1492.73</v>
      </c>
      <c r="K284" s="16">
        <v>5.0</v>
      </c>
      <c r="L284" s="18">
        <v>7463.65</v>
      </c>
      <c r="M284" s="16" t="s">
        <v>975</v>
      </c>
      <c r="N284" s="16" t="s">
        <v>976</v>
      </c>
      <c r="O284" s="16" t="s">
        <v>977</v>
      </c>
    </row>
    <row r="285" ht="15.75" customHeight="1">
      <c r="A285" s="23">
        <v>45362.0</v>
      </c>
      <c r="B285" s="16" t="s">
        <v>58</v>
      </c>
      <c r="C285" s="16" t="str">
        <f t="shared" si="1"/>
        <v>Guadalajara</v>
      </c>
      <c r="D285" s="16" t="str">
        <f t="shared" si="2"/>
        <v>Guadalajara</v>
      </c>
      <c r="E285" s="16" t="str">
        <f t="shared" si="3"/>
        <v>Guadalajara</v>
      </c>
      <c r="F285" s="16" t="s">
        <v>163</v>
      </c>
      <c r="G285" s="17" t="str">
        <f>IFERROR(__xludf.DUMMYFUNCTION("SPLIT(F285:F1284,""-"") "),"Laptop")</f>
        <v>Laptop</v>
      </c>
      <c r="H285" s="16" t="str">
        <f>IFERROR(__xludf.DUMMYFUNCTION("""COMPUTED_VALUE"""),"Oficina")</f>
        <v>Oficina</v>
      </c>
      <c r="I285" s="16" t="str">
        <f>IFERROR(__xludf.DUMMYFUNCTION("""COMPUTED_VALUE"""),"32GB")</f>
        <v>32GB</v>
      </c>
      <c r="J285" s="18">
        <v>617.79</v>
      </c>
      <c r="K285" s="16">
        <v>3.0</v>
      </c>
      <c r="L285" s="18">
        <v>1853.37</v>
      </c>
      <c r="M285" s="16" t="s">
        <v>2563</v>
      </c>
      <c r="N285" s="16" t="s">
        <v>2564</v>
      </c>
      <c r="O285" s="16" t="s">
        <v>2565</v>
      </c>
    </row>
    <row r="286" ht="15.75" customHeight="1">
      <c r="A286" s="23">
        <v>45424.0</v>
      </c>
      <c r="B286" s="16" t="s">
        <v>14</v>
      </c>
      <c r="C286" s="16" t="str">
        <f t="shared" si="1"/>
        <v>Bogotá</v>
      </c>
      <c r="D286" s="16" t="str">
        <f t="shared" si="2"/>
        <v>Bogotá</v>
      </c>
      <c r="E286" s="16" t="str">
        <f t="shared" si="3"/>
        <v>Bogotá</v>
      </c>
      <c r="F286" s="16" t="s">
        <v>315</v>
      </c>
      <c r="G286" s="17" t="str">
        <f>IFERROR(__xludf.DUMMYFUNCTION("SPLIT(F286:F1285,""-"") "),"Teléfono")</f>
        <v>Teléfono</v>
      </c>
      <c r="H286" s="16" t="str">
        <f>IFERROR(__xludf.DUMMYFUNCTION("""COMPUTED_VALUE"""),"Gama baja")</f>
        <v>Gama baja</v>
      </c>
      <c r="I286" s="16" t="str">
        <f>IFERROR(__xludf.DUMMYFUNCTION("""COMPUTED_VALUE"""),"8GB")</f>
        <v>8GB</v>
      </c>
      <c r="J286" s="18">
        <v>2211.26</v>
      </c>
      <c r="K286" s="16">
        <v>3.0</v>
      </c>
      <c r="L286" s="18">
        <v>6633.78</v>
      </c>
      <c r="M286" s="16" t="s">
        <v>2566</v>
      </c>
      <c r="N286" s="16" t="s">
        <v>2567</v>
      </c>
      <c r="O286" s="16" t="s">
        <v>2568</v>
      </c>
    </row>
    <row r="287" ht="15.75" customHeight="1">
      <c r="A287" s="19">
        <v>45634.0</v>
      </c>
      <c r="B287" s="16" t="s">
        <v>9</v>
      </c>
      <c r="C287" s="16" t="str">
        <f t="shared" si="1"/>
        <v>Monterrey</v>
      </c>
      <c r="D287" s="16" t="str">
        <f t="shared" si="2"/>
        <v>Monterrey</v>
      </c>
      <c r="E287" s="16" t="str">
        <f t="shared" si="3"/>
        <v>Monterrey</v>
      </c>
      <c r="F287" s="16" t="s">
        <v>282</v>
      </c>
      <c r="G287" s="17" t="str">
        <f>IFERROR(__xludf.DUMMYFUNCTION("SPLIT(F287:F1286,""-"") "),"Tablet")</f>
        <v>Tablet</v>
      </c>
      <c r="H287" s="16" t="str">
        <f>IFERROR(__xludf.DUMMYFUNCTION("""COMPUTED_VALUE"""),"Pro")</f>
        <v>Pro</v>
      </c>
      <c r="I287" s="16" t="str">
        <f>IFERROR(__xludf.DUMMYFUNCTION("""COMPUTED_VALUE"""),"16GB")</f>
        <v>16GB</v>
      </c>
      <c r="J287" s="18">
        <v>1397.7</v>
      </c>
      <c r="K287" s="16">
        <v>3.0</v>
      </c>
      <c r="L287" s="18">
        <v>4193.1</v>
      </c>
      <c r="M287" s="16" t="s">
        <v>1709</v>
      </c>
      <c r="N287" s="16" t="s">
        <v>1710</v>
      </c>
      <c r="O287" s="16" t="s">
        <v>1711</v>
      </c>
    </row>
    <row r="288" ht="15.75" customHeight="1">
      <c r="A288" s="15">
        <v>45566.0</v>
      </c>
      <c r="B288" s="16" t="s">
        <v>9</v>
      </c>
      <c r="C288" s="16" t="str">
        <f t="shared" si="1"/>
        <v>Monterrey</v>
      </c>
      <c r="D288" s="16" t="str">
        <f t="shared" si="2"/>
        <v>Monterrey</v>
      </c>
      <c r="E288" s="16" t="str">
        <f t="shared" si="3"/>
        <v>Monterrey</v>
      </c>
      <c r="F288" s="16" t="s">
        <v>10</v>
      </c>
      <c r="G288" s="17" t="str">
        <f>IFERROR(__xludf.DUMMYFUNCTION("SPLIT(F288:F1287,""-"") "),"Tablet")</f>
        <v>Tablet</v>
      </c>
      <c r="H288" s="16" t="str">
        <f>IFERROR(__xludf.DUMMYFUNCTION("""COMPUTED_VALUE"""),"Estándar")</f>
        <v>Estándar</v>
      </c>
      <c r="I288" s="16" t="str">
        <f>IFERROR(__xludf.DUMMYFUNCTION("""COMPUTED_VALUE"""),"8GB")</f>
        <v>8GB</v>
      </c>
      <c r="J288" s="18">
        <v>1339.17</v>
      </c>
      <c r="K288" s="16">
        <v>2.0</v>
      </c>
      <c r="L288" s="18">
        <v>2678.34</v>
      </c>
      <c r="M288" s="16" t="s">
        <v>11</v>
      </c>
      <c r="N288" s="16" t="s">
        <v>12</v>
      </c>
      <c r="O288" s="16" t="s">
        <v>13</v>
      </c>
    </row>
    <row r="289" ht="15.75" customHeight="1">
      <c r="A289" s="19">
        <v>45578.0</v>
      </c>
      <c r="B289" s="16" t="s">
        <v>181</v>
      </c>
      <c r="C289" s="16" t="str">
        <f t="shared" si="1"/>
        <v>   Cali</v>
      </c>
      <c r="D289" s="16" t="str">
        <f t="shared" si="2"/>
        <v>Cali</v>
      </c>
      <c r="E289" s="16" t="str">
        <f t="shared" si="3"/>
        <v>Cali</v>
      </c>
      <c r="F289" s="16" t="s">
        <v>182</v>
      </c>
      <c r="G289" s="17" t="str">
        <f>IFERROR(__xludf.DUMMYFUNCTION("SPLIT(F289:F1288,""-"") "),"Tablet")</f>
        <v>Tablet</v>
      </c>
      <c r="H289" s="16" t="str">
        <f>IFERROR(__xludf.DUMMYFUNCTION("""COMPUTED_VALUE"""),"Mini")</f>
        <v>Mini</v>
      </c>
      <c r="I289" s="16" t="str">
        <f>IFERROR(__xludf.DUMMYFUNCTION("""COMPUTED_VALUE"""),"4GB")</f>
        <v>4GB</v>
      </c>
      <c r="J289" s="18">
        <v>992.68</v>
      </c>
      <c r="K289" s="16">
        <v>5.0</v>
      </c>
      <c r="L289" s="18">
        <v>4963.4</v>
      </c>
      <c r="M289" s="16" t="s">
        <v>183</v>
      </c>
      <c r="N289" s="16" t="s">
        <v>184</v>
      </c>
      <c r="O289" s="16" t="s">
        <v>185</v>
      </c>
    </row>
    <row r="290" ht="15.75" customHeight="1">
      <c r="A290" s="15">
        <v>45597.0</v>
      </c>
      <c r="B290" s="16" t="s">
        <v>35</v>
      </c>
      <c r="C290" s="16" t="str">
        <f t="shared" si="1"/>
        <v>Medellín</v>
      </c>
      <c r="D290" s="16" t="str">
        <f t="shared" si="2"/>
        <v>Medellín</v>
      </c>
      <c r="E290" s="16" t="str">
        <f t="shared" si="3"/>
        <v>Medellín</v>
      </c>
      <c r="F290" s="16" t="s">
        <v>71</v>
      </c>
      <c r="G290" s="17" t="str">
        <f>IFERROR(__xludf.DUMMYFUNCTION("SPLIT(F290:F1289,""-"") "),"Auriculares")</f>
        <v>Auriculares</v>
      </c>
      <c r="H290" s="16" t="str">
        <f>IFERROR(__xludf.DUMMYFUNCTION("""COMPUTED_VALUE"""),"Bluetooth")</f>
        <v>Bluetooth</v>
      </c>
      <c r="I290" s="16" t="str">
        <f>IFERROR(__xludf.DUMMYFUNCTION("""COMPUTED_VALUE"""),"16GB")</f>
        <v>16GB</v>
      </c>
      <c r="J290" s="18">
        <v>2196.83</v>
      </c>
      <c r="K290" s="16">
        <v>5.0</v>
      </c>
      <c r="L290" s="18">
        <v>10984.15</v>
      </c>
      <c r="M290" s="16" t="s">
        <v>809</v>
      </c>
      <c r="N290" s="16" t="s">
        <v>810</v>
      </c>
      <c r="O290" s="16" t="s">
        <v>811</v>
      </c>
    </row>
    <row r="291" ht="15.75" customHeight="1">
      <c r="A291" s="19">
        <v>45656.0</v>
      </c>
      <c r="B291" s="16" t="s">
        <v>58</v>
      </c>
      <c r="C291" s="16" t="str">
        <f t="shared" si="1"/>
        <v>Guadalajara</v>
      </c>
      <c r="D291" s="16" t="str">
        <f t="shared" si="2"/>
        <v>Guadalajara</v>
      </c>
      <c r="E291" s="16" t="str">
        <f t="shared" si="3"/>
        <v>Guadalajara</v>
      </c>
      <c r="F291" s="16" t="s">
        <v>50</v>
      </c>
      <c r="G291" s="17" t="str">
        <f>IFERROR(__xludf.DUMMYFUNCTION("SPLIT(F291:F1290,""-"") "),"Tablet")</f>
        <v>Tablet</v>
      </c>
      <c r="H291" s="16" t="str">
        <f>IFERROR(__xludf.DUMMYFUNCTION("""COMPUTED_VALUE"""),"Estándar")</f>
        <v>Estándar</v>
      </c>
      <c r="I291" s="16" t="str">
        <f>IFERROR(__xludf.DUMMYFUNCTION("""COMPUTED_VALUE"""),"32GB")</f>
        <v>32GB</v>
      </c>
      <c r="J291" s="18">
        <v>895.6</v>
      </c>
      <c r="K291" s="16">
        <v>3.0</v>
      </c>
      <c r="L291" s="18">
        <v>2686.8</v>
      </c>
      <c r="M291" s="16" t="s">
        <v>2312</v>
      </c>
      <c r="N291" s="16" t="s">
        <v>2313</v>
      </c>
      <c r="O291" s="16" t="s">
        <v>2314</v>
      </c>
    </row>
    <row r="292" ht="15.75" customHeight="1">
      <c r="A292" s="19">
        <v>45571.0</v>
      </c>
      <c r="B292" s="16" t="s">
        <v>9</v>
      </c>
      <c r="C292" s="16" t="str">
        <f t="shared" si="1"/>
        <v>Monterrey</v>
      </c>
      <c r="D292" s="16" t="str">
        <f t="shared" si="2"/>
        <v>Monterrey</v>
      </c>
      <c r="E292" s="16" t="str">
        <f t="shared" si="3"/>
        <v>Monterrey</v>
      </c>
      <c r="F292" s="16" t="s">
        <v>10</v>
      </c>
      <c r="G292" s="17" t="str">
        <f>IFERROR(__xludf.DUMMYFUNCTION("SPLIT(F292:F1291,""-"") "),"Tablet")</f>
        <v>Tablet</v>
      </c>
      <c r="H292" s="16" t="str">
        <f>IFERROR(__xludf.DUMMYFUNCTION("""COMPUTED_VALUE"""),"Estándar")</f>
        <v>Estándar</v>
      </c>
      <c r="I292" s="16" t="str">
        <f>IFERROR(__xludf.DUMMYFUNCTION("""COMPUTED_VALUE"""),"8GB")</f>
        <v>8GB</v>
      </c>
      <c r="J292" s="18">
        <v>1280.61</v>
      </c>
      <c r="K292" s="16">
        <v>5.0</v>
      </c>
      <c r="L292" s="18">
        <v>6403.05</v>
      </c>
      <c r="M292" s="16" t="s">
        <v>47</v>
      </c>
      <c r="N292" s="16" t="s">
        <v>48</v>
      </c>
      <c r="O292" s="16" t="s">
        <v>49</v>
      </c>
    </row>
    <row r="293" ht="15.75" customHeight="1">
      <c r="A293" s="19">
        <v>45639.0</v>
      </c>
      <c r="B293" s="16" t="s">
        <v>35</v>
      </c>
      <c r="C293" s="16" t="str">
        <f t="shared" si="1"/>
        <v>Medellín</v>
      </c>
      <c r="D293" s="16" t="str">
        <f t="shared" si="2"/>
        <v>Medellín</v>
      </c>
      <c r="E293" s="16" t="str">
        <f t="shared" si="3"/>
        <v>Medellín</v>
      </c>
      <c r="F293" s="16" t="s">
        <v>163</v>
      </c>
      <c r="G293" s="17" t="str">
        <f>IFERROR(__xludf.DUMMYFUNCTION("SPLIT(F293:F1292,""-"") "),"Laptop")</f>
        <v>Laptop</v>
      </c>
      <c r="H293" s="16" t="str">
        <f>IFERROR(__xludf.DUMMYFUNCTION("""COMPUTED_VALUE"""),"Oficina")</f>
        <v>Oficina</v>
      </c>
      <c r="I293" s="16" t="str">
        <f>IFERROR(__xludf.DUMMYFUNCTION("""COMPUTED_VALUE"""),"32GB")</f>
        <v>32GB</v>
      </c>
      <c r="J293" s="18">
        <v>288.64</v>
      </c>
      <c r="K293" s="16">
        <v>1.0</v>
      </c>
      <c r="L293" s="18">
        <v>288.64</v>
      </c>
      <c r="M293" s="16" t="s">
        <v>1812</v>
      </c>
      <c r="N293" s="16" t="s">
        <v>1813</v>
      </c>
      <c r="O293" s="16" t="s">
        <v>1814</v>
      </c>
    </row>
    <row r="294" ht="15.75" customHeight="1">
      <c r="A294" s="19">
        <v>45601.0</v>
      </c>
      <c r="B294" s="16" t="s">
        <v>2359</v>
      </c>
      <c r="C294" s="16" t="str">
        <f t="shared" si="1"/>
        <v>Ciudad De M√©Xico</v>
      </c>
      <c r="D294" s="16" t="str">
        <f t="shared" si="2"/>
        <v>Ciudad De M√©Xico</v>
      </c>
      <c r="E294" s="16" t="str">
        <f t="shared" si="3"/>
        <v>Ciudad De MéXico</v>
      </c>
      <c r="F294" s="16" t="s">
        <v>292</v>
      </c>
      <c r="G294" s="17" t="str">
        <f>IFERROR(__xludf.DUMMYFUNCTION("SPLIT(F294:F1293,""-"") "),"Teléfono")</f>
        <v>Teléfono</v>
      </c>
      <c r="H294" s="16" t="str">
        <f>IFERROR(__xludf.DUMMYFUNCTION("""COMPUTED_VALUE"""),"Gama alta")</f>
        <v>Gama alta</v>
      </c>
      <c r="I294" s="16" t="str">
        <f>IFERROR(__xludf.DUMMYFUNCTION("""COMPUTED_VALUE"""),"16GB")</f>
        <v>16GB</v>
      </c>
      <c r="J294" s="18">
        <v>2092.87</v>
      </c>
      <c r="K294" s="16">
        <v>4.0</v>
      </c>
      <c r="L294" s="18">
        <v>8371.48</v>
      </c>
      <c r="M294" s="16" t="s">
        <v>855</v>
      </c>
      <c r="N294" s="16" t="s">
        <v>856</v>
      </c>
      <c r="O294" s="16" t="s">
        <v>857</v>
      </c>
    </row>
    <row r="295" ht="15.75" customHeight="1">
      <c r="A295" s="15">
        <v>45591.0</v>
      </c>
      <c r="B295" s="16" t="s">
        <v>14</v>
      </c>
      <c r="C295" s="16" t="str">
        <f t="shared" si="1"/>
        <v>Bogotá</v>
      </c>
      <c r="D295" s="16" t="str">
        <f t="shared" si="2"/>
        <v>Bogotá</v>
      </c>
      <c r="E295" s="16" t="str">
        <f t="shared" si="3"/>
        <v>Bogotá</v>
      </c>
      <c r="F295" s="16" t="s">
        <v>369</v>
      </c>
      <c r="G295" s="17" t="str">
        <f>IFERROR(__xludf.DUMMYFUNCTION("SPLIT(F295:F1294,""-"") "),"Auriculares")</f>
        <v>Auriculares</v>
      </c>
      <c r="H295" s="16" t="str">
        <f>IFERROR(__xludf.DUMMYFUNCTION("""COMPUTED_VALUE"""),"Con cable")</f>
        <v>Con cable</v>
      </c>
      <c r="I295" s="16" t="str">
        <f>IFERROR(__xludf.DUMMYFUNCTION("""COMPUTED_VALUE"""),"4GB")</f>
        <v>4GB</v>
      </c>
      <c r="J295" s="18">
        <v>1631.22</v>
      </c>
      <c r="K295" s="16">
        <v>5.0</v>
      </c>
      <c r="L295" s="18">
        <v>8156.1</v>
      </c>
      <c r="M295" s="16" t="s">
        <v>645</v>
      </c>
      <c r="N295" s="16" t="s">
        <v>646</v>
      </c>
      <c r="O295" s="16" t="s">
        <v>647</v>
      </c>
    </row>
    <row r="296" ht="15.75" customHeight="1">
      <c r="A296" s="19">
        <v>45651.0</v>
      </c>
      <c r="B296" s="16" t="s">
        <v>75</v>
      </c>
      <c r="C296" s="16" t="str">
        <f t="shared" si="1"/>
        <v>Cali</v>
      </c>
      <c r="D296" s="16" t="str">
        <f t="shared" si="2"/>
        <v>Cali</v>
      </c>
      <c r="E296" s="16" t="str">
        <f t="shared" si="3"/>
        <v>Cali</v>
      </c>
      <c r="F296" s="16" t="s">
        <v>319</v>
      </c>
      <c r="G296" s="17" t="str">
        <f>IFERROR(__xludf.DUMMYFUNCTION("SPLIT(F296:F1295,""-"") "),"Tablet")</f>
        <v>Tablet</v>
      </c>
      <c r="H296" s="16" t="str">
        <f>IFERROR(__xludf.DUMMYFUNCTION("""COMPUTED_VALUE"""),"Pro")</f>
        <v>Pro</v>
      </c>
      <c r="I296" s="16" t="str">
        <f>IFERROR(__xludf.DUMMYFUNCTION("""COMPUTED_VALUE"""),"32GB")</f>
        <v>32GB</v>
      </c>
      <c r="J296" s="18">
        <v>1068.29</v>
      </c>
      <c r="K296" s="16">
        <v>4.0</v>
      </c>
      <c r="L296" s="18">
        <v>4273.16</v>
      </c>
      <c r="M296" s="16" t="s">
        <v>2168</v>
      </c>
      <c r="N296" s="16" t="s">
        <v>2169</v>
      </c>
      <c r="O296" s="16" t="s">
        <v>2170</v>
      </c>
    </row>
    <row r="297" ht="15.75" customHeight="1">
      <c r="A297" s="19">
        <v>45612.0</v>
      </c>
      <c r="B297" s="16" t="s">
        <v>75</v>
      </c>
      <c r="C297" s="16" t="str">
        <f t="shared" si="1"/>
        <v>Cali</v>
      </c>
      <c r="D297" s="16" t="str">
        <f t="shared" si="2"/>
        <v>Cali</v>
      </c>
      <c r="E297" s="16" t="str">
        <f t="shared" si="3"/>
        <v>Cali</v>
      </c>
      <c r="F297" s="16" t="s">
        <v>121</v>
      </c>
      <c r="G297" s="17" t="str">
        <f>IFERROR(__xludf.DUMMYFUNCTION("SPLIT(F297:F1296,""-"") "),"Teléfono")</f>
        <v>Teléfono</v>
      </c>
      <c r="H297" s="16" t="str">
        <f>IFERROR(__xludf.DUMMYFUNCTION("""COMPUTED_VALUE"""),"Gama alta")</f>
        <v>Gama alta</v>
      </c>
      <c r="I297" s="16" t="str">
        <f>IFERROR(__xludf.DUMMYFUNCTION("""COMPUTED_VALUE"""),"8GB")</f>
        <v>8GB</v>
      </c>
      <c r="J297" s="18">
        <v>1216.59</v>
      </c>
      <c r="K297" s="16">
        <v>3.0</v>
      </c>
      <c r="L297" s="18">
        <v>3649.77</v>
      </c>
      <c r="M297" s="16" t="s">
        <v>1155</v>
      </c>
      <c r="N297" s="16" t="s">
        <v>1156</v>
      </c>
      <c r="O297" s="16" t="s">
        <v>1157</v>
      </c>
    </row>
    <row r="298" ht="15.75" customHeight="1">
      <c r="A298" s="19">
        <v>45633.0</v>
      </c>
      <c r="B298" s="16" t="s">
        <v>75</v>
      </c>
      <c r="C298" s="16" t="str">
        <f t="shared" si="1"/>
        <v>Cali</v>
      </c>
      <c r="D298" s="16" t="str">
        <f t="shared" si="2"/>
        <v>Cali</v>
      </c>
      <c r="E298" s="16" t="str">
        <f t="shared" si="3"/>
        <v>Cali</v>
      </c>
      <c r="F298" s="16" t="s">
        <v>163</v>
      </c>
      <c r="G298" s="17" t="str">
        <f>IFERROR(__xludf.DUMMYFUNCTION("SPLIT(F298:F1297,""-"") "),"Laptop")</f>
        <v>Laptop</v>
      </c>
      <c r="H298" s="16" t="str">
        <f>IFERROR(__xludf.DUMMYFUNCTION("""COMPUTED_VALUE"""),"Oficina")</f>
        <v>Oficina</v>
      </c>
      <c r="I298" s="16" t="str">
        <f>IFERROR(__xludf.DUMMYFUNCTION("""COMPUTED_VALUE"""),"32GB")</f>
        <v>32GB</v>
      </c>
      <c r="J298" s="18">
        <v>979.2</v>
      </c>
      <c r="K298" s="16">
        <v>5.0</v>
      </c>
      <c r="L298" s="18">
        <v>4896.0</v>
      </c>
      <c r="M298" s="16" t="s">
        <v>1703</v>
      </c>
      <c r="N298" s="16" t="s">
        <v>1704</v>
      </c>
      <c r="O298" s="16" t="s">
        <v>1705</v>
      </c>
    </row>
    <row r="299" ht="15.75" customHeight="1">
      <c r="A299" s="19">
        <v>45620.0</v>
      </c>
      <c r="B299" s="16" t="s">
        <v>2359</v>
      </c>
      <c r="C299" s="16" t="str">
        <f t="shared" si="1"/>
        <v>Ciudad De M√©Xico</v>
      </c>
      <c r="D299" s="16" t="str">
        <f t="shared" si="2"/>
        <v>Ciudad De M√©Xico</v>
      </c>
      <c r="E299" s="16" t="str">
        <f t="shared" si="3"/>
        <v>Ciudad De MéXico</v>
      </c>
      <c r="F299" s="16" t="s">
        <v>167</v>
      </c>
      <c r="G299" s="17" t="str">
        <f>IFERROR(__xludf.DUMMYFUNCTION("SPLIT(F299:F1298,""-"") "),"Auriculares")</f>
        <v>Auriculares</v>
      </c>
      <c r="H299" s="16" t="str">
        <f>IFERROR(__xludf.DUMMYFUNCTION("""COMPUTED_VALUE"""),"Bluetooth")</f>
        <v>Bluetooth</v>
      </c>
      <c r="I299" s="16" t="str">
        <f>IFERROR(__xludf.DUMMYFUNCTION("""COMPUTED_VALUE"""),"32GB")</f>
        <v>32GB</v>
      </c>
      <c r="J299" s="18">
        <v>1752.21</v>
      </c>
      <c r="K299" s="16">
        <v>4.0</v>
      </c>
      <c r="L299" s="18">
        <v>7008.84</v>
      </c>
      <c r="M299" s="16" t="s">
        <v>1441</v>
      </c>
      <c r="N299" s="16" t="s">
        <v>1442</v>
      </c>
      <c r="O299" s="16" t="s">
        <v>1443</v>
      </c>
    </row>
    <row r="300" ht="15.75" customHeight="1">
      <c r="A300" s="15">
        <v>45580.0</v>
      </c>
      <c r="B300" s="16" t="s">
        <v>2359</v>
      </c>
      <c r="C300" s="16" t="str">
        <f t="shared" si="1"/>
        <v>Ciudad De M√©Xico</v>
      </c>
      <c r="D300" s="16" t="str">
        <f t="shared" si="2"/>
        <v>Ciudad De M√©Xico</v>
      </c>
      <c r="E300" s="16" t="str">
        <f t="shared" si="3"/>
        <v>Ciudad De MéXico</v>
      </c>
      <c r="F300" s="16" t="s">
        <v>50</v>
      </c>
      <c r="G300" s="17" t="str">
        <f>IFERROR(__xludf.DUMMYFUNCTION("SPLIT(F300:F1299,""-"") "),"Tablet")</f>
        <v>Tablet</v>
      </c>
      <c r="H300" s="16" t="str">
        <f>IFERROR(__xludf.DUMMYFUNCTION("""COMPUTED_VALUE"""),"Estándar")</f>
        <v>Estándar</v>
      </c>
      <c r="I300" s="16" t="str">
        <f>IFERROR(__xludf.DUMMYFUNCTION("""COMPUTED_VALUE"""),"32GB")</f>
        <v>32GB</v>
      </c>
      <c r="J300" s="18">
        <v>2381.87</v>
      </c>
      <c r="K300" s="16">
        <v>1.0</v>
      </c>
      <c r="L300" s="18">
        <v>2381.87</v>
      </c>
      <c r="M300" s="16" t="s">
        <v>266</v>
      </c>
      <c r="N300" s="16" t="s">
        <v>267</v>
      </c>
      <c r="O300" s="16" t="s">
        <v>268</v>
      </c>
    </row>
    <row r="301" ht="15.75" customHeight="1">
      <c r="A301" s="19">
        <v>45655.0</v>
      </c>
      <c r="B301" s="16" t="s">
        <v>14</v>
      </c>
      <c r="C301" s="16" t="str">
        <f t="shared" si="1"/>
        <v>Bogotá</v>
      </c>
      <c r="D301" s="16" t="str">
        <f t="shared" si="2"/>
        <v>Bogotá</v>
      </c>
      <c r="E301" s="16" t="str">
        <f t="shared" si="3"/>
        <v>Bogotá</v>
      </c>
      <c r="F301" s="16" t="s">
        <v>430</v>
      </c>
      <c r="G301" s="17" t="str">
        <f>IFERROR(__xludf.DUMMYFUNCTION("SPLIT(F301:F1300,""-"") "),"Teléfono")</f>
        <v>Teléfono</v>
      </c>
      <c r="H301" s="16" t="str">
        <f>IFERROR(__xludf.DUMMYFUNCTION("""COMPUTED_VALUE"""),"Gama alta")</f>
        <v>Gama alta</v>
      </c>
      <c r="I301" s="16" t="str">
        <f>IFERROR(__xludf.DUMMYFUNCTION("""COMPUTED_VALUE"""),"4GB")</f>
        <v>4GB</v>
      </c>
      <c r="J301" s="18">
        <v>173.98</v>
      </c>
      <c r="K301" s="16">
        <v>4.0</v>
      </c>
      <c r="L301" s="18">
        <v>695.92</v>
      </c>
      <c r="M301" s="16" t="s">
        <v>2285</v>
      </c>
      <c r="N301" s="16" t="s">
        <v>2286</v>
      </c>
      <c r="O301" s="16" t="s">
        <v>2287</v>
      </c>
    </row>
    <row r="302" ht="15.75" customHeight="1">
      <c r="A302" s="19">
        <v>45617.0</v>
      </c>
      <c r="B302" s="16" t="s">
        <v>14</v>
      </c>
      <c r="C302" s="16" t="str">
        <f t="shared" si="1"/>
        <v>Bogotá</v>
      </c>
      <c r="D302" s="16" t="str">
        <f t="shared" si="2"/>
        <v>Bogotá</v>
      </c>
      <c r="E302" s="16" t="str">
        <f t="shared" si="3"/>
        <v>Bogotá</v>
      </c>
      <c r="F302" s="16" t="s">
        <v>182</v>
      </c>
      <c r="G302" s="17" t="str">
        <f>IFERROR(__xludf.DUMMYFUNCTION("SPLIT(F302:F1301,""-"") "),"Tablet")</f>
        <v>Tablet</v>
      </c>
      <c r="H302" s="16" t="str">
        <f>IFERROR(__xludf.DUMMYFUNCTION("""COMPUTED_VALUE"""),"Mini")</f>
        <v>Mini</v>
      </c>
      <c r="I302" s="16" t="str">
        <f>IFERROR(__xludf.DUMMYFUNCTION("""COMPUTED_VALUE"""),"4GB")</f>
        <v>4GB</v>
      </c>
      <c r="J302" s="18">
        <v>1987.27</v>
      </c>
      <c r="K302" s="16">
        <v>3.0</v>
      </c>
      <c r="L302" s="18">
        <v>5961.81</v>
      </c>
      <c r="M302" s="16" t="s">
        <v>1338</v>
      </c>
      <c r="N302" s="16" t="s">
        <v>1339</v>
      </c>
      <c r="O302" s="16" t="s">
        <v>1340</v>
      </c>
    </row>
    <row r="303" ht="15.75" customHeight="1">
      <c r="A303" s="19">
        <v>45589.0</v>
      </c>
      <c r="B303" s="16" t="s">
        <v>58</v>
      </c>
      <c r="C303" s="16" t="str">
        <f t="shared" si="1"/>
        <v>Guadalajara</v>
      </c>
      <c r="D303" s="16" t="str">
        <f t="shared" si="2"/>
        <v>Guadalajara</v>
      </c>
      <c r="E303" s="16" t="str">
        <f t="shared" si="3"/>
        <v>Guadalajara</v>
      </c>
      <c r="F303" s="16" t="s">
        <v>54</v>
      </c>
      <c r="G303" s="17" t="str">
        <f>IFERROR(__xludf.DUMMYFUNCTION("SPLIT(F303:F1302,""-"") "),"Laptop")</f>
        <v>Laptop</v>
      </c>
      <c r="H303" s="16" t="str">
        <f>IFERROR(__xludf.DUMMYFUNCTION("""COMPUTED_VALUE"""),"Oficina")</f>
        <v>Oficina</v>
      </c>
      <c r="I303" s="16" t="str">
        <f>IFERROR(__xludf.DUMMYFUNCTION("""COMPUTED_VALUE"""),"8GB")</f>
        <v>8GB</v>
      </c>
      <c r="J303" s="18">
        <v>486.27</v>
      </c>
      <c r="K303" s="16">
        <v>5.0</v>
      </c>
      <c r="L303" s="18">
        <v>2431.35</v>
      </c>
      <c r="M303" s="16" t="s">
        <v>590</v>
      </c>
      <c r="N303" s="16" t="s">
        <v>591</v>
      </c>
      <c r="O303" s="16" t="s">
        <v>592</v>
      </c>
    </row>
    <row r="304" ht="15.75" customHeight="1">
      <c r="A304" s="15">
        <v>45643.0</v>
      </c>
      <c r="B304" s="16" t="s">
        <v>14</v>
      </c>
      <c r="C304" s="16" t="str">
        <f t="shared" si="1"/>
        <v>Bogotá</v>
      </c>
      <c r="D304" s="16" t="str">
        <f t="shared" si="2"/>
        <v>Bogotá</v>
      </c>
      <c r="E304" s="16" t="str">
        <f t="shared" si="3"/>
        <v>Bogotá</v>
      </c>
      <c r="F304" s="16" t="s">
        <v>163</v>
      </c>
      <c r="G304" s="17" t="str">
        <f>IFERROR(__xludf.DUMMYFUNCTION("SPLIT(F304:F1303,""-"") "),"Laptop")</f>
        <v>Laptop</v>
      </c>
      <c r="H304" s="16" t="str">
        <f>IFERROR(__xludf.DUMMYFUNCTION("""COMPUTED_VALUE"""),"Oficina")</f>
        <v>Oficina</v>
      </c>
      <c r="I304" s="16" t="str">
        <f>IFERROR(__xludf.DUMMYFUNCTION("""COMPUTED_VALUE"""),"32GB")</f>
        <v>32GB</v>
      </c>
      <c r="J304" s="18">
        <v>1615.07</v>
      </c>
      <c r="K304" s="16">
        <v>3.0</v>
      </c>
      <c r="L304" s="18">
        <v>4845.21</v>
      </c>
      <c r="M304" s="16" t="s">
        <v>1918</v>
      </c>
      <c r="N304" s="16" t="s">
        <v>1919</v>
      </c>
      <c r="O304" s="16" t="s">
        <v>1920</v>
      </c>
    </row>
    <row r="305" ht="15.75" customHeight="1">
      <c r="A305" s="19">
        <v>45629.0</v>
      </c>
      <c r="B305" s="16" t="s">
        <v>2359</v>
      </c>
      <c r="C305" s="16" t="str">
        <f t="shared" si="1"/>
        <v>Ciudad De M√©Xico</v>
      </c>
      <c r="D305" s="16" t="str">
        <f t="shared" si="2"/>
        <v>Ciudad De M√©Xico</v>
      </c>
      <c r="E305" s="16" t="str">
        <f t="shared" si="3"/>
        <v>Ciudad De MéXico</v>
      </c>
      <c r="F305" s="16" t="s">
        <v>40</v>
      </c>
      <c r="G305" s="17" t="str">
        <f>IFERROR(__xludf.DUMMYFUNCTION("SPLIT(F305:F1304,""-"") "),"Auriculares")</f>
        <v>Auriculares</v>
      </c>
      <c r="H305" s="16" t="str">
        <f>IFERROR(__xludf.DUMMYFUNCTION("""COMPUTED_VALUE"""),"Con cable")</f>
        <v>Con cable</v>
      </c>
      <c r="I305" s="16" t="str">
        <f>IFERROR(__xludf.DUMMYFUNCTION("""COMPUTED_VALUE"""),"8GB")</f>
        <v>8GB</v>
      </c>
      <c r="J305" s="18">
        <v>1464.04</v>
      </c>
      <c r="K305" s="16">
        <v>4.0</v>
      </c>
      <c r="L305" s="18">
        <v>5856.16</v>
      </c>
      <c r="M305" s="16" t="s">
        <v>1658</v>
      </c>
      <c r="N305" s="16" t="s">
        <v>1659</v>
      </c>
      <c r="O305" s="16" t="s">
        <v>1660</v>
      </c>
    </row>
    <row r="306" ht="15.75" customHeight="1">
      <c r="A306" s="19">
        <v>45583.0</v>
      </c>
      <c r="B306" s="16" t="s">
        <v>9</v>
      </c>
      <c r="C306" s="16" t="str">
        <f t="shared" si="1"/>
        <v>Monterrey</v>
      </c>
      <c r="D306" s="16" t="str">
        <f t="shared" si="2"/>
        <v>Monterrey</v>
      </c>
      <c r="E306" s="16" t="str">
        <f t="shared" si="3"/>
        <v>Monterrey</v>
      </c>
      <c r="F306" s="16" t="s">
        <v>344</v>
      </c>
      <c r="G306" s="17" t="str">
        <f>IFERROR(__xludf.DUMMYFUNCTION("SPLIT(F306:F1305,""-"") "),"Laptop")</f>
        <v>Laptop</v>
      </c>
      <c r="H306" s="16" t="str">
        <f>IFERROR(__xludf.DUMMYFUNCTION("""COMPUTED_VALUE"""),"Ultraliviana")</f>
        <v>Ultraliviana</v>
      </c>
      <c r="I306" s="16" t="str">
        <f>IFERROR(__xludf.DUMMYFUNCTION("""COMPUTED_VALUE"""),"8GB")</f>
        <v>8GB</v>
      </c>
      <c r="J306" s="18">
        <v>1612.96</v>
      </c>
      <c r="K306" s="16">
        <v>1.0</v>
      </c>
      <c r="L306" s="18">
        <v>1612.96</v>
      </c>
      <c r="M306" s="16" t="s">
        <v>393</v>
      </c>
      <c r="N306" s="16" t="s">
        <v>394</v>
      </c>
      <c r="O306" s="16" t="s">
        <v>395</v>
      </c>
    </row>
    <row r="307" ht="15.75" customHeight="1">
      <c r="A307" s="19">
        <v>45615.0</v>
      </c>
      <c r="B307" s="16" t="s">
        <v>2359</v>
      </c>
      <c r="C307" s="16" t="str">
        <f t="shared" si="1"/>
        <v>Ciudad De M√©Xico</v>
      </c>
      <c r="D307" s="16" t="str">
        <f t="shared" si="2"/>
        <v>Ciudad De M√©Xico</v>
      </c>
      <c r="E307" s="16" t="str">
        <f t="shared" si="3"/>
        <v>Ciudad De MéXico</v>
      </c>
      <c r="F307" s="16" t="s">
        <v>186</v>
      </c>
      <c r="G307" s="17" t="str">
        <f>IFERROR(__xludf.DUMMYFUNCTION("SPLIT(F307:F1306,""-"") "),"Auriculares")</f>
        <v>Auriculares</v>
      </c>
      <c r="H307" s="16" t="str">
        <f>IFERROR(__xludf.DUMMYFUNCTION("""COMPUTED_VALUE"""),"Cancelaci√≥n de ruido")</f>
        <v>Cancelaci√≥n de ruido</v>
      </c>
      <c r="I307" s="16" t="str">
        <f>IFERROR(__xludf.DUMMYFUNCTION("""COMPUTED_VALUE"""),"16GB")</f>
        <v>16GB</v>
      </c>
      <c r="J307" s="18">
        <v>920.68</v>
      </c>
      <c r="K307" s="16">
        <v>3.0</v>
      </c>
      <c r="L307" s="18">
        <v>2762.04</v>
      </c>
      <c r="M307" s="16" t="s">
        <v>1263</v>
      </c>
      <c r="N307" s="16" t="s">
        <v>1264</v>
      </c>
      <c r="O307" s="16" t="s">
        <v>1265</v>
      </c>
    </row>
    <row r="308" ht="15.75" customHeight="1">
      <c r="A308" s="15">
        <v>45588.0</v>
      </c>
      <c r="B308" s="16" t="s">
        <v>35</v>
      </c>
      <c r="C308" s="16" t="str">
        <f t="shared" si="1"/>
        <v>Medellín</v>
      </c>
      <c r="D308" s="16" t="str">
        <f t="shared" si="2"/>
        <v>Medellín</v>
      </c>
      <c r="E308" s="16" t="str">
        <f t="shared" si="3"/>
        <v>Medellín</v>
      </c>
      <c r="F308" s="16" t="s">
        <v>15</v>
      </c>
      <c r="G308" s="17" t="str">
        <f>IFERROR(__xludf.DUMMYFUNCTION("SPLIT(F308:F1307,""-"") "),"Auriculares")</f>
        <v>Auriculares</v>
      </c>
      <c r="H308" s="16" t="str">
        <f>IFERROR(__xludf.DUMMYFUNCTION("""COMPUTED_VALUE"""),"Con cable")</f>
        <v>Con cable</v>
      </c>
      <c r="I308" s="16" t="str">
        <f>IFERROR(__xludf.DUMMYFUNCTION("""COMPUTED_VALUE"""),"32GB")</f>
        <v>32GB</v>
      </c>
      <c r="J308" s="18">
        <v>499.22</v>
      </c>
      <c r="K308" s="16">
        <v>3.0</v>
      </c>
      <c r="L308" s="18">
        <v>1497.66</v>
      </c>
      <c r="M308" s="16" t="s">
        <v>547</v>
      </c>
      <c r="N308" s="16" t="s">
        <v>548</v>
      </c>
      <c r="O308" s="16" t="s">
        <v>549</v>
      </c>
    </row>
    <row r="309" ht="15.75" customHeight="1">
      <c r="A309" s="19">
        <v>45606.0</v>
      </c>
      <c r="B309" s="16" t="s">
        <v>2359</v>
      </c>
      <c r="C309" s="16" t="str">
        <f t="shared" si="1"/>
        <v>Ciudad De M√©Xico</v>
      </c>
      <c r="D309" s="16" t="str">
        <f t="shared" si="2"/>
        <v>Ciudad De M√©Xico</v>
      </c>
      <c r="E309" s="16" t="str">
        <f t="shared" si="3"/>
        <v>Ciudad De MéXico</v>
      </c>
      <c r="F309" s="16" t="s">
        <v>430</v>
      </c>
      <c r="G309" s="17" t="str">
        <f>IFERROR(__xludf.DUMMYFUNCTION("SPLIT(F309:F1308,""-"") "),"Teléfono")</f>
        <v>Teléfono</v>
      </c>
      <c r="H309" s="16" t="str">
        <f>IFERROR(__xludf.DUMMYFUNCTION("""COMPUTED_VALUE"""),"Gama alta")</f>
        <v>Gama alta</v>
      </c>
      <c r="I309" s="16" t="str">
        <f>IFERROR(__xludf.DUMMYFUNCTION("""COMPUTED_VALUE"""),"4GB")</f>
        <v>4GB</v>
      </c>
      <c r="J309" s="18">
        <v>1650.53</v>
      </c>
      <c r="K309" s="16">
        <v>1.0</v>
      </c>
      <c r="L309" s="18">
        <v>1650.53</v>
      </c>
      <c r="M309" s="16" t="s">
        <v>942</v>
      </c>
      <c r="N309" s="16" t="s">
        <v>943</v>
      </c>
      <c r="O309" s="16" t="s">
        <v>944</v>
      </c>
    </row>
    <row r="310" ht="15.75" customHeight="1">
      <c r="A310" s="19">
        <v>45581.0</v>
      </c>
      <c r="B310" s="16" t="s">
        <v>58</v>
      </c>
      <c r="C310" s="16" t="str">
        <f t="shared" si="1"/>
        <v>Guadalajara</v>
      </c>
      <c r="D310" s="16" t="str">
        <f t="shared" si="2"/>
        <v>Guadalajara</v>
      </c>
      <c r="E310" s="16" t="str">
        <f t="shared" si="3"/>
        <v>Guadalajara</v>
      </c>
      <c r="F310" s="16" t="s">
        <v>233</v>
      </c>
      <c r="G310" s="17" t="str">
        <f>IFERROR(__xludf.DUMMYFUNCTION("SPLIT(F310:F1309,""-"") "),"Tablet")</f>
        <v>Tablet</v>
      </c>
      <c r="H310" s="16" t="str">
        <f>IFERROR(__xludf.DUMMYFUNCTION("""COMPUTED_VALUE"""),"Mini")</f>
        <v>Mini</v>
      </c>
      <c r="I310" s="16" t="str">
        <f>IFERROR(__xludf.DUMMYFUNCTION("""COMPUTED_VALUE"""),"16GB")</f>
        <v>16GB</v>
      </c>
      <c r="J310" s="18">
        <v>1112.48</v>
      </c>
      <c r="K310" s="16">
        <v>2.0</v>
      </c>
      <c r="L310" s="18">
        <v>2224.96</v>
      </c>
      <c r="M310" s="16" t="s">
        <v>323</v>
      </c>
      <c r="N310" s="16" t="s">
        <v>324</v>
      </c>
      <c r="O310" s="16" t="s">
        <v>325</v>
      </c>
    </row>
    <row r="311" ht="15.75" customHeight="1">
      <c r="A311" s="15">
        <v>45650.0</v>
      </c>
      <c r="B311" s="16" t="s">
        <v>14</v>
      </c>
      <c r="C311" s="16" t="str">
        <f t="shared" si="1"/>
        <v>Bogotá</v>
      </c>
      <c r="D311" s="16" t="str">
        <f t="shared" si="2"/>
        <v>Bogotá</v>
      </c>
      <c r="E311" s="16" t="str">
        <f t="shared" si="3"/>
        <v>Bogotá</v>
      </c>
      <c r="F311" s="16" t="s">
        <v>67</v>
      </c>
      <c r="G311" s="17" t="str">
        <f>IFERROR(__xludf.DUMMYFUNCTION("SPLIT(F311:F1310,""-"") "),"Tablet")</f>
        <v>Tablet</v>
      </c>
      <c r="H311" s="16" t="str">
        <f>IFERROR(__xludf.DUMMYFUNCTION("""COMPUTED_VALUE"""),"Estándar")</f>
        <v>Estándar</v>
      </c>
      <c r="I311" s="16" t="str">
        <f>IFERROR(__xludf.DUMMYFUNCTION("""COMPUTED_VALUE"""),"4GB")</f>
        <v>4GB</v>
      </c>
      <c r="J311" s="18">
        <v>366.39</v>
      </c>
      <c r="K311" s="16">
        <v>4.0</v>
      </c>
      <c r="L311" s="18">
        <v>1465.56</v>
      </c>
      <c r="M311" s="16" t="s">
        <v>2138</v>
      </c>
      <c r="N311" s="16" t="s">
        <v>2139</v>
      </c>
      <c r="O311" s="16" t="s">
        <v>2140</v>
      </c>
    </row>
    <row r="312" ht="15.75" customHeight="1">
      <c r="A312" s="19">
        <v>45630.0</v>
      </c>
      <c r="B312" s="16" t="s">
        <v>35</v>
      </c>
      <c r="C312" s="16" t="str">
        <f t="shared" si="1"/>
        <v>Medellín</v>
      </c>
      <c r="D312" s="16" t="str">
        <f t="shared" si="2"/>
        <v>Medellín</v>
      </c>
      <c r="E312" s="16" t="str">
        <f t="shared" si="3"/>
        <v>Medellín</v>
      </c>
      <c r="F312" s="16" t="s">
        <v>167</v>
      </c>
      <c r="G312" s="17" t="str">
        <f>IFERROR(__xludf.DUMMYFUNCTION("SPLIT(F312:F1311,""-"") "),"Auriculares")</f>
        <v>Auriculares</v>
      </c>
      <c r="H312" s="16" t="str">
        <f>IFERROR(__xludf.DUMMYFUNCTION("""COMPUTED_VALUE"""),"Bluetooth")</f>
        <v>Bluetooth</v>
      </c>
      <c r="I312" s="16" t="str">
        <f>IFERROR(__xludf.DUMMYFUNCTION("""COMPUTED_VALUE"""),"32GB")</f>
        <v>32GB</v>
      </c>
      <c r="J312" s="18">
        <v>1019.3</v>
      </c>
      <c r="K312" s="16">
        <v>4.0</v>
      </c>
      <c r="L312" s="18">
        <v>4077.2</v>
      </c>
      <c r="M312" s="16" t="s">
        <v>1670</v>
      </c>
      <c r="N312" s="16" t="s">
        <v>1671</v>
      </c>
      <c r="O312" s="16" t="s">
        <v>1672</v>
      </c>
    </row>
    <row r="313" ht="15.75" customHeight="1">
      <c r="A313" s="19">
        <v>45610.0</v>
      </c>
      <c r="B313" s="16" t="s">
        <v>2359</v>
      </c>
      <c r="C313" s="16" t="str">
        <f t="shared" si="1"/>
        <v>Ciudad De M√©Xico</v>
      </c>
      <c r="D313" s="16" t="str">
        <f t="shared" si="2"/>
        <v>Ciudad De M√©Xico</v>
      </c>
      <c r="E313" s="16" t="str">
        <f t="shared" si="3"/>
        <v>Ciudad De MéXico</v>
      </c>
      <c r="F313" s="16" t="s">
        <v>218</v>
      </c>
      <c r="G313" s="17" t="str">
        <f>IFERROR(__xludf.DUMMYFUNCTION("SPLIT(F313:F1312,""-"") "),"Teléfono")</f>
        <v>Teléfono</v>
      </c>
      <c r="H313" s="16" t="str">
        <f>IFERROR(__xludf.DUMMYFUNCTION("""COMPUTED_VALUE"""),"Gama media")</f>
        <v>Gama media</v>
      </c>
      <c r="I313" s="16" t="str">
        <f>IFERROR(__xludf.DUMMYFUNCTION("""COMPUTED_VALUE"""),"4GB")</f>
        <v>4GB</v>
      </c>
      <c r="J313" s="18">
        <v>1152.44</v>
      </c>
      <c r="K313" s="16">
        <v>5.0</v>
      </c>
      <c r="L313" s="18">
        <v>5762.2</v>
      </c>
      <c r="M313" s="16" t="s">
        <v>1075</v>
      </c>
      <c r="N313" s="16" t="s">
        <v>1076</v>
      </c>
      <c r="O313" s="16" t="s">
        <v>1077</v>
      </c>
    </row>
    <row r="314" ht="15.75" customHeight="1">
      <c r="A314" s="15">
        <v>45632.0</v>
      </c>
      <c r="B314" s="16" t="s">
        <v>9</v>
      </c>
      <c r="C314" s="16" t="str">
        <f t="shared" si="1"/>
        <v>Monterrey</v>
      </c>
      <c r="D314" s="16" t="str">
        <f t="shared" si="2"/>
        <v>Monterrey</v>
      </c>
      <c r="E314" s="16" t="str">
        <f t="shared" si="3"/>
        <v>Monterrey</v>
      </c>
      <c r="F314" s="16" t="s">
        <v>311</v>
      </c>
      <c r="G314" s="17" t="str">
        <f>IFERROR(__xludf.DUMMYFUNCTION("SPLIT(F314:F1313,""-"") "),"Laptop")</f>
        <v>Laptop</v>
      </c>
      <c r="H314" s="16" t="str">
        <f>IFERROR(__xludf.DUMMYFUNCTION("""COMPUTED_VALUE"""),"Ultraliviana")</f>
        <v>Ultraliviana</v>
      </c>
      <c r="I314" s="16" t="str">
        <f>IFERROR(__xludf.DUMMYFUNCTION("""COMPUTED_VALUE"""),"32GB")</f>
        <v>32GB</v>
      </c>
      <c r="J314" s="22">
        <f>(L314/K314) </f>
        <v>1955.27</v>
      </c>
      <c r="K314" s="16">
        <v>1.0</v>
      </c>
      <c r="L314" s="18">
        <v>1955.27</v>
      </c>
      <c r="M314" s="16" t="s">
        <v>1694</v>
      </c>
      <c r="N314" s="16" t="s">
        <v>1695</v>
      </c>
      <c r="O314" s="16" t="s">
        <v>1696</v>
      </c>
    </row>
    <row r="315" ht="15.75" customHeight="1">
      <c r="A315" s="19">
        <v>45586.0</v>
      </c>
      <c r="B315" s="16" t="s">
        <v>89</v>
      </c>
      <c r="C315" s="16" t="str">
        <f t="shared" si="1"/>
        <v>Tulum</v>
      </c>
      <c r="D315" s="16" t="str">
        <f t="shared" si="2"/>
        <v>Tulum</v>
      </c>
      <c r="E315" s="16" t="str">
        <f t="shared" si="3"/>
        <v>Tulum</v>
      </c>
      <c r="F315" s="16" t="s">
        <v>344</v>
      </c>
      <c r="G315" s="17" t="str">
        <f>IFERROR(__xludf.DUMMYFUNCTION("SPLIT(F315:F1314,""-"") "),"Laptop")</f>
        <v>Laptop</v>
      </c>
      <c r="H315" s="16" t="str">
        <f>IFERROR(__xludf.DUMMYFUNCTION("""COMPUTED_VALUE"""),"Ultraliviana")</f>
        <v>Ultraliviana</v>
      </c>
      <c r="I315" s="16" t="str">
        <f>IFERROR(__xludf.DUMMYFUNCTION("""COMPUTED_VALUE"""),"8GB")</f>
        <v>8GB</v>
      </c>
      <c r="J315" s="18">
        <v>1807.14</v>
      </c>
      <c r="K315" s="16">
        <v>5.0</v>
      </c>
      <c r="L315" s="18">
        <v>9035.7</v>
      </c>
      <c r="M315" s="16" t="s">
        <v>498</v>
      </c>
      <c r="N315" s="16" t="s">
        <v>499</v>
      </c>
      <c r="O315" s="16" t="s">
        <v>500</v>
      </c>
    </row>
    <row r="316" ht="15.75" customHeight="1">
      <c r="A316" s="15">
        <v>45618.0</v>
      </c>
      <c r="B316" s="16" t="s">
        <v>35</v>
      </c>
      <c r="C316" s="16" t="str">
        <f t="shared" si="1"/>
        <v>Medellín</v>
      </c>
      <c r="D316" s="16" t="str">
        <f t="shared" si="2"/>
        <v>Medellín</v>
      </c>
      <c r="E316" s="16" t="str">
        <f t="shared" si="3"/>
        <v>Medellín</v>
      </c>
      <c r="F316" s="16" t="s">
        <v>430</v>
      </c>
      <c r="G316" s="17" t="str">
        <f>IFERROR(__xludf.DUMMYFUNCTION("SPLIT(F316:F1315,""-"") "),"Teléfono")</f>
        <v>Teléfono</v>
      </c>
      <c r="H316" s="16" t="str">
        <f>IFERROR(__xludf.DUMMYFUNCTION("""COMPUTED_VALUE"""),"Gama alta")</f>
        <v>Gama alta</v>
      </c>
      <c r="I316" s="16" t="str">
        <f>IFERROR(__xludf.DUMMYFUNCTION("""COMPUTED_VALUE"""),"4GB")</f>
        <v>4GB</v>
      </c>
      <c r="J316" s="18">
        <v>1175.45</v>
      </c>
      <c r="K316" s="16">
        <v>5.0</v>
      </c>
      <c r="L316" s="18">
        <v>5877.25</v>
      </c>
      <c r="M316" s="16" t="s">
        <v>1374</v>
      </c>
      <c r="N316" s="16" t="s">
        <v>1375</v>
      </c>
      <c r="O316" s="16" t="s">
        <v>1376</v>
      </c>
    </row>
    <row r="317" ht="15.75" customHeight="1">
      <c r="A317" s="19">
        <v>45640.0</v>
      </c>
      <c r="B317" s="16" t="s">
        <v>14</v>
      </c>
      <c r="C317" s="16" t="str">
        <f t="shared" si="1"/>
        <v>Bogotá</v>
      </c>
      <c r="D317" s="16" t="str">
        <f t="shared" si="2"/>
        <v>Bogotá</v>
      </c>
      <c r="E317" s="16" t="str">
        <f t="shared" si="3"/>
        <v>Bogotá</v>
      </c>
      <c r="F317" s="16" t="s">
        <v>311</v>
      </c>
      <c r="G317" s="17" t="str">
        <f>IFERROR(__xludf.DUMMYFUNCTION("SPLIT(F317:F1316,""-"") "),"Laptop")</f>
        <v>Laptop</v>
      </c>
      <c r="H317" s="16" t="str">
        <f>IFERROR(__xludf.DUMMYFUNCTION("""COMPUTED_VALUE"""),"Ultraliviana")</f>
        <v>Ultraliviana</v>
      </c>
      <c r="I317" s="16" t="str">
        <f>IFERROR(__xludf.DUMMYFUNCTION("""COMPUTED_VALUE"""),"32GB")</f>
        <v>32GB</v>
      </c>
      <c r="J317" s="18">
        <v>177.74</v>
      </c>
      <c r="K317" s="16">
        <v>4.0</v>
      </c>
      <c r="L317" s="18">
        <v>710.96</v>
      </c>
      <c r="M317" s="16" t="s">
        <v>1833</v>
      </c>
      <c r="N317" s="16" t="s">
        <v>1834</v>
      </c>
      <c r="O317" s="16" t="s">
        <v>1835</v>
      </c>
    </row>
    <row r="318" ht="15.75" customHeight="1">
      <c r="A318" s="15">
        <v>45642.0</v>
      </c>
      <c r="B318" s="16" t="s">
        <v>2515</v>
      </c>
      <c r="C318" s="16" t="str">
        <f t="shared" si="1"/>
        <v>Ciudad De M√Âxico</v>
      </c>
      <c r="D318" s="16" t="str">
        <f t="shared" si="2"/>
        <v>Ciudad De M√Âxico</v>
      </c>
      <c r="E318" s="16" t="str">
        <f t="shared" si="3"/>
        <v>Ciudad De M√Âxico</v>
      </c>
      <c r="F318" s="16" t="s">
        <v>255</v>
      </c>
      <c r="G318" s="17" t="str">
        <f>IFERROR(__xludf.DUMMYFUNCTION("SPLIT(F318:F1317,""-"") "),"Auriculares")</f>
        <v>Auriculares</v>
      </c>
      <c r="H318" s="16" t="str">
        <f>IFERROR(__xludf.DUMMYFUNCTION("""COMPUTED_VALUE"""),"Bluetooth")</f>
        <v>Bluetooth</v>
      </c>
      <c r="I318" s="16" t="str">
        <f>IFERROR(__xludf.DUMMYFUNCTION("""COMPUTED_VALUE"""),"8GB")</f>
        <v>8GB</v>
      </c>
      <c r="J318" s="18">
        <v>1220.85</v>
      </c>
      <c r="K318" s="16">
        <v>1.0</v>
      </c>
      <c r="L318" s="18">
        <v>1220.85</v>
      </c>
      <c r="M318" s="16" t="s">
        <v>1891</v>
      </c>
      <c r="N318" s="16" t="s">
        <v>1892</v>
      </c>
      <c r="O318" s="16" t="s">
        <v>1893</v>
      </c>
    </row>
    <row r="319" ht="15.75" customHeight="1">
      <c r="A319" s="19">
        <v>45582.0</v>
      </c>
      <c r="B319" s="16" t="s">
        <v>35</v>
      </c>
      <c r="C319" s="16" t="str">
        <f t="shared" si="1"/>
        <v>Medellín</v>
      </c>
      <c r="D319" s="16" t="str">
        <f t="shared" si="2"/>
        <v>Medellín</v>
      </c>
      <c r="E319" s="16" t="str">
        <f t="shared" si="3"/>
        <v>Medellín</v>
      </c>
      <c r="F319" s="16" t="s">
        <v>163</v>
      </c>
      <c r="G319" s="17" t="str">
        <f>IFERROR(__xludf.DUMMYFUNCTION("SPLIT(F319:F1318,""-"") "),"Laptop")</f>
        <v>Laptop</v>
      </c>
      <c r="H319" s="16" t="str">
        <f>IFERROR(__xludf.DUMMYFUNCTION("""COMPUTED_VALUE"""),"Oficina")</f>
        <v>Oficina</v>
      </c>
      <c r="I319" s="16" t="str">
        <f>IFERROR(__xludf.DUMMYFUNCTION("""COMPUTED_VALUE"""),"32GB")</f>
        <v>32GB</v>
      </c>
      <c r="J319" s="18">
        <v>1866.74</v>
      </c>
      <c r="K319" s="16">
        <v>4.0</v>
      </c>
      <c r="L319" s="18">
        <v>7466.96</v>
      </c>
      <c r="M319" s="16" t="s">
        <v>357</v>
      </c>
      <c r="N319" s="16" t="s">
        <v>358</v>
      </c>
      <c r="O319" s="16" t="s">
        <v>359</v>
      </c>
    </row>
    <row r="320" ht="15.75" customHeight="1">
      <c r="A320" s="15">
        <v>45590.0</v>
      </c>
      <c r="B320" s="16" t="s">
        <v>2359</v>
      </c>
      <c r="C320" s="16" t="str">
        <f t="shared" si="1"/>
        <v>Ciudad De M√©Xico</v>
      </c>
      <c r="D320" s="16" t="str">
        <f t="shared" si="2"/>
        <v>Ciudad De M√©Xico</v>
      </c>
      <c r="E320" s="16" t="str">
        <f t="shared" si="3"/>
        <v>Ciudad De MéXico</v>
      </c>
      <c r="F320" s="16" t="s">
        <v>171</v>
      </c>
      <c r="G320" s="17" t="str">
        <f>IFERROR(__xludf.DUMMYFUNCTION("SPLIT(F320:F1319,""-"") "),"Teléfono")</f>
        <v>Teléfono</v>
      </c>
      <c r="H320" s="16" t="str">
        <f>IFERROR(__xludf.DUMMYFUNCTION("""COMPUTED_VALUE"""),"Gama baja")</f>
        <v>Gama baja</v>
      </c>
      <c r="I320" s="16" t="str">
        <f>IFERROR(__xludf.DUMMYFUNCTION("""COMPUTED_VALUE"""),"4GB")</f>
        <v>4GB</v>
      </c>
      <c r="J320" s="18">
        <v>1363.09</v>
      </c>
      <c r="K320" s="16">
        <v>5.0</v>
      </c>
      <c r="L320" s="18">
        <v>6815.45</v>
      </c>
      <c r="M320" s="16" t="s">
        <v>623</v>
      </c>
      <c r="N320" s="16" t="s">
        <v>624</v>
      </c>
      <c r="O320" s="16" t="s">
        <v>625</v>
      </c>
    </row>
    <row r="321" ht="15.75" customHeight="1">
      <c r="A321" s="15">
        <v>45605.0</v>
      </c>
      <c r="B321" s="16" t="s">
        <v>35</v>
      </c>
      <c r="C321" s="16" t="str">
        <f t="shared" si="1"/>
        <v>Medellín</v>
      </c>
      <c r="D321" s="16" t="str">
        <f t="shared" si="2"/>
        <v>Medellín</v>
      </c>
      <c r="E321" s="16" t="str">
        <f t="shared" si="3"/>
        <v>Medellín</v>
      </c>
      <c r="F321" s="16" t="s">
        <v>31</v>
      </c>
      <c r="G321" s="17" t="str">
        <f>IFERROR(__xludf.DUMMYFUNCTION("SPLIT(F321:F1320,""-"") "),"Teléfono")</f>
        <v>Teléfono</v>
      </c>
      <c r="H321" s="16" t="str">
        <f>IFERROR(__xludf.DUMMYFUNCTION("""COMPUTED_VALUE"""),"Gama alta")</f>
        <v>Gama alta</v>
      </c>
      <c r="I321" s="16" t="str">
        <f>IFERROR(__xludf.DUMMYFUNCTION("""COMPUTED_VALUE"""),"32GB")</f>
        <v>32GB</v>
      </c>
      <c r="J321" s="18">
        <v>720.63</v>
      </c>
      <c r="K321" s="16">
        <v>1.0</v>
      </c>
      <c r="L321" s="18">
        <v>720.63</v>
      </c>
      <c r="M321" s="16" t="s">
        <v>909</v>
      </c>
      <c r="N321" s="16" t="s">
        <v>910</v>
      </c>
      <c r="O321" s="16" t="s">
        <v>911</v>
      </c>
    </row>
    <row r="322" ht="15.75" customHeight="1">
      <c r="A322" s="19">
        <v>45649.0</v>
      </c>
      <c r="B322" s="16" t="s">
        <v>58</v>
      </c>
      <c r="C322" s="16" t="str">
        <f t="shared" si="1"/>
        <v>Guadalajara</v>
      </c>
      <c r="D322" s="16" t="str">
        <f t="shared" si="2"/>
        <v>Guadalajara</v>
      </c>
      <c r="E322" s="16" t="str">
        <f t="shared" si="3"/>
        <v>Guadalajara</v>
      </c>
      <c r="F322" s="16" t="s">
        <v>292</v>
      </c>
      <c r="G322" s="17" t="str">
        <f>IFERROR(__xludf.DUMMYFUNCTION("SPLIT(F322:F1321,""-"") "),"Teléfono")</f>
        <v>Teléfono</v>
      </c>
      <c r="H322" s="16" t="str">
        <f>IFERROR(__xludf.DUMMYFUNCTION("""COMPUTED_VALUE"""),"Gama alta")</f>
        <v>Gama alta</v>
      </c>
      <c r="I322" s="16" t="str">
        <f>IFERROR(__xludf.DUMMYFUNCTION("""COMPUTED_VALUE"""),"16GB")</f>
        <v>16GB</v>
      </c>
      <c r="J322" s="18">
        <v>1719.53</v>
      </c>
      <c r="K322" s="16">
        <v>2.0</v>
      </c>
      <c r="L322" s="18">
        <v>3439.06</v>
      </c>
      <c r="M322" s="16" t="s">
        <v>2096</v>
      </c>
      <c r="N322" s="16" t="s">
        <v>2097</v>
      </c>
      <c r="O322" s="16" t="s">
        <v>2098</v>
      </c>
    </row>
    <row r="323" ht="15.75" customHeight="1">
      <c r="A323" s="15">
        <v>45584.0</v>
      </c>
      <c r="B323" s="16" t="s">
        <v>9</v>
      </c>
      <c r="C323" s="16" t="str">
        <f t="shared" si="1"/>
        <v>Monterrey</v>
      </c>
      <c r="D323" s="16" t="str">
        <f t="shared" si="2"/>
        <v>Monterrey</v>
      </c>
      <c r="E323" s="16" t="str">
        <f t="shared" si="3"/>
        <v>Monterrey</v>
      </c>
      <c r="F323" s="16" t="s">
        <v>430</v>
      </c>
      <c r="G323" s="17" t="str">
        <f>IFERROR(__xludf.DUMMYFUNCTION("SPLIT(F323:F1322,""-"") "),"Teléfono")</f>
        <v>Teléfono</v>
      </c>
      <c r="H323" s="16" t="str">
        <f>IFERROR(__xludf.DUMMYFUNCTION("""COMPUTED_VALUE"""),"Gama alta")</f>
        <v>Gama alta</v>
      </c>
      <c r="I323" s="16" t="str">
        <f>IFERROR(__xludf.DUMMYFUNCTION("""COMPUTED_VALUE"""),"4GB")</f>
        <v>4GB</v>
      </c>
      <c r="J323" s="18">
        <v>2484.74</v>
      </c>
      <c r="K323" s="16">
        <v>5.0</v>
      </c>
      <c r="L323" s="18">
        <v>12423.7</v>
      </c>
      <c r="M323" s="16" t="s">
        <v>431</v>
      </c>
      <c r="N323" s="16" t="s">
        <v>432</v>
      </c>
      <c r="O323" s="16" t="s">
        <v>433</v>
      </c>
    </row>
    <row r="324" ht="15.75" customHeight="1">
      <c r="A324" s="19">
        <v>45608.0</v>
      </c>
      <c r="B324" s="16" t="s">
        <v>58</v>
      </c>
      <c r="C324" s="16" t="str">
        <f t="shared" si="1"/>
        <v>Guadalajara</v>
      </c>
      <c r="D324" s="16" t="str">
        <f t="shared" si="2"/>
        <v>Guadalajara</v>
      </c>
      <c r="E324" s="16" t="str">
        <f t="shared" si="3"/>
        <v>Guadalajara</v>
      </c>
      <c r="F324" s="16" t="s">
        <v>67</v>
      </c>
      <c r="G324" s="17" t="str">
        <f>IFERROR(__xludf.DUMMYFUNCTION("SPLIT(F324:F1323,""-"") "),"Tablet")</f>
        <v>Tablet</v>
      </c>
      <c r="H324" s="16" t="str">
        <f>IFERROR(__xludf.DUMMYFUNCTION("""COMPUTED_VALUE"""),"Estándar")</f>
        <v>Estándar</v>
      </c>
      <c r="I324" s="16" t="str">
        <f>IFERROR(__xludf.DUMMYFUNCTION("""COMPUTED_VALUE"""),"4GB")</f>
        <v>4GB</v>
      </c>
      <c r="J324" s="18">
        <v>2437.77</v>
      </c>
      <c r="K324" s="16">
        <v>2.0</v>
      </c>
      <c r="L324" s="18">
        <v>4875.54</v>
      </c>
      <c r="M324" s="16" t="s">
        <v>1006</v>
      </c>
      <c r="N324" s="16" t="s">
        <v>1007</v>
      </c>
      <c r="O324" s="16" t="s">
        <v>1008</v>
      </c>
    </row>
    <row r="325" ht="15.75" customHeight="1">
      <c r="A325" s="19">
        <v>45654.0</v>
      </c>
      <c r="B325" s="16" t="s">
        <v>75</v>
      </c>
      <c r="C325" s="16" t="str">
        <f t="shared" si="1"/>
        <v>Cali</v>
      </c>
      <c r="D325" s="16" t="str">
        <f t="shared" si="2"/>
        <v>Cali</v>
      </c>
      <c r="E325" s="16" t="str">
        <f t="shared" si="3"/>
        <v>Cali</v>
      </c>
      <c r="F325" s="16" t="s">
        <v>163</v>
      </c>
      <c r="G325" s="17" t="str">
        <f>IFERROR(__xludf.DUMMYFUNCTION("SPLIT(F325:F1324,""-"") "),"Laptop")</f>
        <v>Laptop</v>
      </c>
      <c r="H325" s="16" t="str">
        <f>IFERROR(__xludf.DUMMYFUNCTION("""COMPUTED_VALUE"""),"Oficina")</f>
        <v>Oficina</v>
      </c>
      <c r="I325" s="16" t="str">
        <f>IFERROR(__xludf.DUMMYFUNCTION("""COMPUTED_VALUE"""),"32GB")</f>
        <v>32GB</v>
      </c>
      <c r="J325" s="18">
        <v>702.77</v>
      </c>
      <c r="K325" s="16">
        <v>3.0</v>
      </c>
      <c r="L325" s="18">
        <v>2108.31</v>
      </c>
      <c r="M325" s="16" t="s">
        <v>2240</v>
      </c>
      <c r="N325" s="16" t="s">
        <v>2241</v>
      </c>
      <c r="O325" s="16" t="s">
        <v>2242</v>
      </c>
    </row>
    <row r="326" ht="15.75" customHeight="1">
      <c r="A326" s="15">
        <v>45578.0</v>
      </c>
      <c r="B326" s="16" t="s">
        <v>58</v>
      </c>
      <c r="C326" s="16" t="str">
        <f t="shared" si="1"/>
        <v>Guadalajara</v>
      </c>
      <c r="D326" s="16" t="str">
        <f t="shared" si="2"/>
        <v>Guadalajara</v>
      </c>
      <c r="E326" s="16" t="str">
        <f t="shared" si="3"/>
        <v>Guadalajara</v>
      </c>
      <c r="F326" s="16" t="s">
        <v>186</v>
      </c>
      <c r="G326" s="17" t="str">
        <f>IFERROR(__xludf.DUMMYFUNCTION("SPLIT(F326:F1325,""-"") "),"Auriculares")</f>
        <v>Auriculares</v>
      </c>
      <c r="H326" s="16" t="str">
        <f>IFERROR(__xludf.DUMMYFUNCTION("""COMPUTED_VALUE"""),"Cancelaci√≥n de ruido")</f>
        <v>Cancelaci√≥n de ruido</v>
      </c>
      <c r="I326" s="16" t="str">
        <f>IFERROR(__xludf.DUMMYFUNCTION("""COMPUTED_VALUE"""),"16GB")</f>
        <v>16GB</v>
      </c>
      <c r="J326" s="18">
        <v>284.79</v>
      </c>
      <c r="K326" s="16">
        <v>5.0</v>
      </c>
      <c r="L326" s="18">
        <v>1423.95</v>
      </c>
      <c r="M326" s="16" t="s">
        <v>187</v>
      </c>
      <c r="N326" s="16" t="s">
        <v>188</v>
      </c>
      <c r="O326" s="16" t="s">
        <v>189</v>
      </c>
    </row>
    <row r="327" ht="15.75" customHeight="1">
      <c r="A327" s="19">
        <v>45652.0</v>
      </c>
      <c r="B327" s="16" t="s">
        <v>58</v>
      </c>
      <c r="C327" s="16" t="str">
        <f t="shared" si="1"/>
        <v>Guadalajara</v>
      </c>
      <c r="D327" s="16" t="str">
        <f t="shared" si="2"/>
        <v>Guadalajara</v>
      </c>
      <c r="E327" s="16" t="str">
        <f t="shared" si="3"/>
        <v>Guadalajara</v>
      </c>
      <c r="F327" s="16" t="s">
        <v>76</v>
      </c>
      <c r="G327" s="17" t="str">
        <f>IFERROR(__xludf.DUMMYFUNCTION("SPLIT(F327:F1326,""-"") "),"Tablet")</f>
        <v>Tablet</v>
      </c>
      <c r="H327" s="16" t="str">
        <f>IFERROR(__xludf.DUMMYFUNCTION("""COMPUTED_VALUE"""),"Mini")</f>
        <v>Mini</v>
      </c>
      <c r="I327" s="16" t="str">
        <f>IFERROR(__xludf.DUMMYFUNCTION("""COMPUTED_VALUE"""),"32GB")</f>
        <v>32GB</v>
      </c>
      <c r="J327" s="18">
        <v>824.79</v>
      </c>
      <c r="K327" s="16">
        <v>4.0</v>
      </c>
      <c r="L327" s="18">
        <v>3299.16</v>
      </c>
      <c r="M327" s="16" t="s">
        <v>2195</v>
      </c>
      <c r="N327" s="16" t="s">
        <v>2196</v>
      </c>
      <c r="O327" s="16" t="s">
        <v>2197</v>
      </c>
    </row>
    <row r="328" ht="15.75" customHeight="1">
      <c r="A328" s="15">
        <v>45626.0</v>
      </c>
      <c r="B328" s="16" t="s">
        <v>2359</v>
      </c>
      <c r="C328" s="16" t="str">
        <f t="shared" si="1"/>
        <v>Ciudad De M√©Xico</v>
      </c>
      <c r="D328" s="16" t="str">
        <f t="shared" si="2"/>
        <v>Ciudad De M√©Xico</v>
      </c>
      <c r="E328" s="16" t="str">
        <f t="shared" si="3"/>
        <v>Ciudad De MéXico</v>
      </c>
      <c r="F328" s="16" t="s">
        <v>90</v>
      </c>
      <c r="G328" s="17" t="str">
        <f>IFERROR(__xludf.DUMMYFUNCTION("SPLIT(F328:F1327,""-"") "),"Laptop")</f>
        <v>Laptop</v>
      </c>
      <c r="H328" s="16" t="str">
        <f>IFERROR(__xludf.DUMMYFUNCTION("""COMPUTED_VALUE"""),"Gaming")</f>
        <v>Gaming</v>
      </c>
      <c r="I328" s="16" t="str">
        <f>IFERROR(__xludf.DUMMYFUNCTION("""COMPUTED_VALUE"""),"32GB")</f>
        <v>32GB</v>
      </c>
      <c r="J328" s="18">
        <v>616.36</v>
      </c>
      <c r="K328" s="16">
        <v>4.0</v>
      </c>
      <c r="L328" s="18">
        <v>2465.44</v>
      </c>
      <c r="M328" s="16" t="s">
        <v>1614</v>
      </c>
      <c r="N328" s="16" t="s">
        <v>1615</v>
      </c>
      <c r="O328" s="16" t="s">
        <v>1616</v>
      </c>
    </row>
    <row r="329" ht="15.75" customHeight="1">
      <c r="A329" s="19">
        <v>45646.0</v>
      </c>
      <c r="B329" s="16" t="s">
        <v>9</v>
      </c>
      <c r="C329" s="16" t="str">
        <f t="shared" si="1"/>
        <v>Monterrey</v>
      </c>
      <c r="D329" s="16" t="str">
        <f t="shared" si="2"/>
        <v>Monterrey</v>
      </c>
      <c r="E329" s="16" t="str">
        <f t="shared" si="3"/>
        <v>Monterrey</v>
      </c>
      <c r="F329" s="16" t="s">
        <v>121</v>
      </c>
      <c r="G329" s="17" t="str">
        <f>IFERROR(__xludf.DUMMYFUNCTION("SPLIT(F329:F1328,""-"") "),"Teléfono")</f>
        <v>Teléfono</v>
      </c>
      <c r="H329" s="16" t="str">
        <f>IFERROR(__xludf.DUMMYFUNCTION("""COMPUTED_VALUE"""),"Gama alta")</f>
        <v>Gama alta</v>
      </c>
      <c r="I329" s="16" t="str">
        <f>IFERROR(__xludf.DUMMYFUNCTION("""COMPUTED_VALUE"""),"8GB")</f>
        <v>8GB</v>
      </c>
      <c r="J329" s="18">
        <v>1501.95</v>
      </c>
      <c r="K329" s="16">
        <v>2.0</v>
      </c>
      <c r="L329" s="18">
        <v>3003.9</v>
      </c>
      <c r="M329" s="16" t="s">
        <v>2014</v>
      </c>
      <c r="N329" s="16" t="s">
        <v>2015</v>
      </c>
      <c r="O329" s="16" t="s">
        <v>2016</v>
      </c>
    </row>
    <row r="330" ht="15.75" customHeight="1">
      <c r="A330" s="15">
        <v>45576.0</v>
      </c>
      <c r="B330" s="16" t="s">
        <v>9</v>
      </c>
      <c r="C330" s="16" t="str">
        <f t="shared" si="1"/>
        <v>Monterrey</v>
      </c>
      <c r="D330" s="16" t="str">
        <f t="shared" si="2"/>
        <v>Monterrey</v>
      </c>
      <c r="E330" s="16" t="str">
        <f t="shared" si="3"/>
        <v>Monterrey</v>
      </c>
      <c r="F330" s="16" t="s">
        <v>59</v>
      </c>
      <c r="G330" s="17" t="str">
        <f>IFERROR(__xludf.DUMMYFUNCTION("SPLIT(F330:F1329,""-"") "),"Auriculares")</f>
        <v>Auriculares</v>
      </c>
      <c r="H330" s="16" t="str">
        <f>IFERROR(__xludf.DUMMYFUNCTION("""COMPUTED_VALUE"""),"Bluetooth")</f>
        <v>Bluetooth</v>
      </c>
      <c r="I330" s="16" t="str">
        <f>IFERROR(__xludf.DUMMYFUNCTION("""COMPUTED_VALUE"""),"4GB")</f>
        <v>4GB</v>
      </c>
      <c r="J330" s="18">
        <v>1429.89</v>
      </c>
      <c r="K330" s="16">
        <v>4.0</v>
      </c>
      <c r="L330" s="18">
        <v>5719.56</v>
      </c>
      <c r="M330" s="16" t="s">
        <v>110</v>
      </c>
      <c r="N330" s="16" t="s">
        <v>111</v>
      </c>
      <c r="O330" s="16" t="s">
        <v>112</v>
      </c>
    </row>
    <row r="331" ht="15.75" customHeight="1">
      <c r="A331" s="15">
        <v>45604.0</v>
      </c>
      <c r="B331" s="16" t="s">
        <v>9</v>
      </c>
      <c r="C331" s="16" t="str">
        <f t="shared" si="1"/>
        <v>Monterrey</v>
      </c>
      <c r="D331" s="16" t="str">
        <f t="shared" si="2"/>
        <v>Monterrey</v>
      </c>
      <c r="E331" s="16" t="str">
        <f t="shared" si="3"/>
        <v>Monterrey</v>
      </c>
      <c r="F331" s="16" t="s">
        <v>389</v>
      </c>
      <c r="G331" s="17" t="str">
        <f>IFERROR(__xludf.DUMMYFUNCTION("SPLIT(F331:F1330,""-"") "),"Auriculares")</f>
        <v>Auriculares</v>
      </c>
      <c r="H331" s="16" t="str">
        <f>IFERROR(__xludf.DUMMYFUNCTION("""COMPUTED_VALUE"""),"Cancelación de ruido")</f>
        <v>Cancelación de ruido</v>
      </c>
      <c r="I331" s="16" t="str">
        <f>IFERROR(__xludf.DUMMYFUNCTION("""COMPUTED_VALUE"""),"4GB")</f>
        <v>4GB</v>
      </c>
      <c r="J331" s="18">
        <v>1662.81</v>
      </c>
      <c r="K331" s="16">
        <v>5.0</v>
      </c>
      <c r="L331" s="18">
        <v>8314.05</v>
      </c>
      <c r="M331" s="16" t="s">
        <v>897</v>
      </c>
      <c r="N331" s="16" t="s">
        <v>898</v>
      </c>
      <c r="O331" s="16" t="s">
        <v>899</v>
      </c>
    </row>
    <row r="332" ht="15.75" customHeight="1">
      <c r="A332" s="19">
        <v>45631.0</v>
      </c>
      <c r="B332" s="16" t="s">
        <v>58</v>
      </c>
      <c r="C332" s="16" t="str">
        <f t="shared" si="1"/>
        <v>Guadalajara</v>
      </c>
      <c r="D332" s="16" t="str">
        <f t="shared" si="2"/>
        <v>Guadalajara</v>
      </c>
      <c r="E332" s="16" t="str">
        <f t="shared" si="3"/>
        <v>Guadalajara</v>
      </c>
      <c r="F332" s="16" t="s">
        <v>389</v>
      </c>
      <c r="G332" s="17" t="str">
        <f>IFERROR(__xludf.DUMMYFUNCTION("SPLIT(F332:F1331,""-"") "),"Auriculares")</f>
        <v>Auriculares</v>
      </c>
      <c r="H332" s="16" t="str">
        <f>IFERROR(__xludf.DUMMYFUNCTION("""COMPUTED_VALUE"""),"Cancelación de ruido")</f>
        <v>Cancelación de ruido</v>
      </c>
      <c r="I332" s="16" t="str">
        <f>IFERROR(__xludf.DUMMYFUNCTION("""COMPUTED_VALUE"""),"4GB")</f>
        <v>4GB</v>
      </c>
      <c r="J332" s="18">
        <v>379.11</v>
      </c>
      <c r="K332" s="16">
        <v>1.0</v>
      </c>
      <c r="L332" s="18">
        <v>379.11</v>
      </c>
      <c r="M332" s="16" t="s">
        <v>1685</v>
      </c>
      <c r="N332" s="16" t="s">
        <v>1686</v>
      </c>
      <c r="O332" s="16" t="s">
        <v>1687</v>
      </c>
    </row>
    <row r="333" ht="15.75" customHeight="1">
      <c r="A333" s="15">
        <v>45603.0</v>
      </c>
      <c r="B333" s="16" t="s">
        <v>75</v>
      </c>
      <c r="C333" s="16" t="str">
        <f t="shared" si="1"/>
        <v>Cali</v>
      </c>
      <c r="D333" s="16" t="str">
        <f t="shared" si="2"/>
        <v>Cali</v>
      </c>
      <c r="E333" s="16" t="str">
        <f t="shared" si="3"/>
        <v>Cali</v>
      </c>
      <c r="F333" s="16" t="s">
        <v>389</v>
      </c>
      <c r="G333" s="17" t="str">
        <f>IFERROR(__xludf.DUMMYFUNCTION("SPLIT(F333:F1332,""-"") "),"Auriculares")</f>
        <v>Auriculares</v>
      </c>
      <c r="H333" s="16" t="str">
        <f>IFERROR(__xludf.DUMMYFUNCTION("""COMPUTED_VALUE"""),"Cancelación de ruido")</f>
        <v>Cancelación de ruido</v>
      </c>
      <c r="I333" s="16" t="str">
        <f>IFERROR(__xludf.DUMMYFUNCTION("""COMPUTED_VALUE"""),"4GB")</f>
        <v>4GB</v>
      </c>
      <c r="J333" s="18">
        <v>2242.24</v>
      </c>
      <c r="K333" s="16">
        <v>1.0</v>
      </c>
      <c r="L333" s="18">
        <v>2242.24</v>
      </c>
      <c r="M333" s="16" t="s">
        <v>876</v>
      </c>
      <c r="N333" s="16" t="s">
        <v>877</v>
      </c>
      <c r="O333" s="16" t="s">
        <v>878</v>
      </c>
    </row>
    <row r="334" ht="15.75" customHeight="1">
      <c r="A334" s="15">
        <v>45636.0</v>
      </c>
      <c r="B334" s="16" t="s">
        <v>14</v>
      </c>
      <c r="C334" s="16" t="str">
        <f t="shared" si="1"/>
        <v>Bogotá</v>
      </c>
      <c r="D334" s="16" t="str">
        <f t="shared" si="2"/>
        <v>Bogotá</v>
      </c>
      <c r="E334" s="16" t="str">
        <f t="shared" si="3"/>
        <v>Bogotá</v>
      </c>
      <c r="F334" s="16" t="s">
        <v>282</v>
      </c>
      <c r="G334" s="17" t="str">
        <f>IFERROR(__xludf.DUMMYFUNCTION("SPLIT(F334:F1333,""-"") "),"Tablet")</f>
        <v>Tablet</v>
      </c>
      <c r="H334" s="16" t="str">
        <f>IFERROR(__xludf.DUMMYFUNCTION("""COMPUTED_VALUE"""),"Pro")</f>
        <v>Pro</v>
      </c>
      <c r="I334" s="16" t="str">
        <f>IFERROR(__xludf.DUMMYFUNCTION("""COMPUTED_VALUE"""),"16GB")</f>
        <v>16GB</v>
      </c>
      <c r="J334" s="18">
        <v>1402.2</v>
      </c>
      <c r="K334" s="16">
        <v>5.0</v>
      </c>
      <c r="L334" s="18">
        <v>7011.0</v>
      </c>
      <c r="M334" s="16" t="s">
        <v>1733</v>
      </c>
      <c r="N334" s="16" t="s">
        <v>1734</v>
      </c>
      <c r="O334" s="16" t="s">
        <v>1735</v>
      </c>
    </row>
    <row r="335" ht="15.75" customHeight="1">
      <c r="A335" s="19">
        <v>45579.0</v>
      </c>
      <c r="B335" s="16" t="s">
        <v>35</v>
      </c>
      <c r="C335" s="16" t="str">
        <f t="shared" si="1"/>
        <v>Medellín</v>
      </c>
      <c r="D335" s="16" t="str">
        <f t="shared" si="2"/>
        <v>Medellín</v>
      </c>
      <c r="E335" s="16" t="str">
        <f t="shared" si="3"/>
        <v>Medellín</v>
      </c>
      <c r="F335" s="16" t="s">
        <v>10</v>
      </c>
      <c r="G335" s="17" t="str">
        <f>IFERROR(__xludf.DUMMYFUNCTION("SPLIT(F335:F1334,""-"") "),"Tablet")</f>
        <v>Tablet</v>
      </c>
      <c r="H335" s="16" t="str">
        <f>IFERROR(__xludf.DUMMYFUNCTION("""COMPUTED_VALUE"""),"Estándar")</f>
        <v>Estándar</v>
      </c>
      <c r="I335" s="16" t="str">
        <f>IFERROR(__xludf.DUMMYFUNCTION("""COMPUTED_VALUE"""),"8GB")</f>
        <v>8GB</v>
      </c>
      <c r="J335" s="18">
        <v>214.72</v>
      </c>
      <c r="K335" s="16">
        <v>3.0</v>
      </c>
      <c r="L335" s="18">
        <v>644.16</v>
      </c>
      <c r="M335" s="16" t="s">
        <v>222</v>
      </c>
      <c r="N335" s="16" t="s">
        <v>223</v>
      </c>
      <c r="O335" s="16" t="s">
        <v>224</v>
      </c>
    </row>
    <row r="336" ht="15.75" customHeight="1">
      <c r="A336" s="15">
        <v>45616.0</v>
      </c>
      <c r="B336" s="16" t="s">
        <v>9</v>
      </c>
      <c r="C336" s="16" t="str">
        <f t="shared" si="1"/>
        <v>Monterrey</v>
      </c>
      <c r="D336" s="16" t="str">
        <f t="shared" si="2"/>
        <v>Monterrey</v>
      </c>
      <c r="E336" s="16" t="str">
        <f t="shared" si="3"/>
        <v>Monterrey</v>
      </c>
      <c r="F336" s="16" t="s">
        <v>36</v>
      </c>
      <c r="G336" s="17" t="str">
        <f>IFERROR(__xludf.DUMMYFUNCTION("SPLIT(F336:F1335,""-"") "),"Tablet")</f>
        <v>Tablet</v>
      </c>
      <c r="H336" s="16" t="str">
        <f>IFERROR(__xludf.DUMMYFUNCTION("""COMPUTED_VALUE"""),"Pro")</f>
        <v>Pro</v>
      </c>
      <c r="I336" s="16" t="str">
        <f>IFERROR(__xludf.DUMMYFUNCTION("""COMPUTED_VALUE"""),"4GB")</f>
        <v>4GB</v>
      </c>
      <c r="J336" s="18">
        <v>1017.27</v>
      </c>
      <c r="K336" s="16">
        <v>1.0</v>
      </c>
      <c r="L336" s="18">
        <v>1017.27</v>
      </c>
      <c r="M336" s="16" t="s">
        <v>1311</v>
      </c>
      <c r="N336" s="16" t="s">
        <v>1312</v>
      </c>
      <c r="O336" s="16" t="s">
        <v>1313</v>
      </c>
    </row>
    <row r="337" ht="15.75" customHeight="1">
      <c r="A337" s="19">
        <v>45617.0</v>
      </c>
      <c r="B337" s="16" t="s">
        <v>9</v>
      </c>
      <c r="C337" s="16" t="str">
        <f t="shared" si="1"/>
        <v>Monterrey</v>
      </c>
      <c r="D337" s="16" t="str">
        <f t="shared" si="2"/>
        <v>Monterrey</v>
      </c>
      <c r="E337" s="16" t="str">
        <f t="shared" si="3"/>
        <v>Monterrey</v>
      </c>
      <c r="F337" s="16" t="s">
        <v>59</v>
      </c>
      <c r="G337" s="17" t="str">
        <f>IFERROR(__xludf.DUMMYFUNCTION("SPLIT(F337:F1336,""-"") "),"Auriculares")</f>
        <v>Auriculares</v>
      </c>
      <c r="H337" s="16" t="str">
        <f>IFERROR(__xludf.DUMMYFUNCTION("""COMPUTED_VALUE"""),"Bluetooth")</f>
        <v>Bluetooth</v>
      </c>
      <c r="I337" s="16" t="str">
        <f>IFERROR(__xludf.DUMMYFUNCTION("""COMPUTED_VALUE"""),"4GB")</f>
        <v>4GB</v>
      </c>
      <c r="J337" s="18">
        <v>1640.14</v>
      </c>
      <c r="K337" s="16">
        <v>5.0</v>
      </c>
      <c r="L337" s="18">
        <v>8200.7</v>
      </c>
      <c r="M337" s="16" t="s">
        <v>1341</v>
      </c>
      <c r="N337" s="16" t="s">
        <v>1342</v>
      </c>
      <c r="O337" s="16" t="s">
        <v>1343</v>
      </c>
    </row>
    <row r="338" ht="15.75" customHeight="1">
      <c r="A338" s="19">
        <v>45613.0</v>
      </c>
      <c r="B338" s="16" t="s">
        <v>75</v>
      </c>
      <c r="C338" s="16" t="str">
        <f t="shared" si="1"/>
        <v>Cali</v>
      </c>
      <c r="D338" s="16" t="str">
        <f t="shared" si="2"/>
        <v>Cali</v>
      </c>
      <c r="E338" s="16" t="str">
        <f t="shared" si="3"/>
        <v>Cali</v>
      </c>
      <c r="F338" s="16" t="s">
        <v>15</v>
      </c>
      <c r="G338" s="17" t="str">
        <f>IFERROR(__xludf.DUMMYFUNCTION("SPLIT(F338:F1337,""-"") "),"Auriculares")</f>
        <v>Auriculares</v>
      </c>
      <c r="H338" s="16" t="str">
        <f>IFERROR(__xludf.DUMMYFUNCTION("""COMPUTED_VALUE"""),"Con cable")</f>
        <v>Con cable</v>
      </c>
      <c r="I338" s="16" t="str">
        <f>IFERROR(__xludf.DUMMYFUNCTION("""COMPUTED_VALUE"""),"32GB")</f>
        <v>32GB</v>
      </c>
      <c r="J338" s="18">
        <v>793.37</v>
      </c>
      <c r="K338" s="16">
        <v>2.0</v>
      </c>
      <c r="L338" s="18">
        <v>1586.74</v>
      </c>
      <c r="M338" s="16" t="s">
        <v>1200</v>
      </c>
      <c r="N338" s="16" t="s">
        <v>1201</v>
      </c>
      <c r="O338" s="16" t="s">
        <v>1202</v>
      </c>
    </row>
    <row r="339" ht="15.75" customHeight="1">
      <c r="A339" s="19">
        <v>45649.0</v>
      </c>
      <c r="B339" s="16" t="s">
        <v>14</v>
      </c>
      <c r="C339" s="16" t="str">
        <f t="shared" si="1"/>
        <v>Bogotá</v>
      </c>
      <c r="D339" s="16" t="str">
        <f t="shared" si="2"/>
        <v>Bogotá</v>
      </c>
      <c r="E339" s="16" t="str">
        <f t="shared" si="3"/>
        <v>Bogotá</v>
      </c>
      <c r="F339" s="16" t="s">
        <v>59</v>
      </c>
      <c r="G339" s="17" t="str">
        <f>IFERROR(__xludf.DUMMYFUNCTION("SPLIT(F339:F1338,""-"") "),"Auriculares")</f>
        <v>Auriculares</v>
      </c>
      <c r="H339" s="16" t="str">
        <f>IFERROR(__xludf.DUMMYFUNCTION("""COMPUTED_VALUE"""),"Bluetooth")</f>
        <v>Bluetooth</v>
      </c>
      <c r="I339" s="16" t="str">
        <f>IFERROR(__xludf.DUMMYFUNCTION("""COMPUTED_VALUE"""),"4GB")</f>
        <v>4GB</v>
      </c>
      <c r="J339" s="18">
        <v>861.73</v>
      </c>
      <c r="K339" s="16">
        <v>5.0</v>
      </c>
      <c r="L339" s="18">
        <v>4308.65</v>
      </c>
      <c r="M339" s="16" t="s">
        <v>2099</v>
      </c>
      <c r="N339" s="16" t="s">
        <v>2100</v>
      </c>
      <c r="O339" s="16" t="s">
        <v>2101</v>
      </c>
    </row>
    <row r="340" ht="15.75" customHeight="1">
      <c r="A340" s="19">
        <v>45581.0</v>
      </c>
      <c r="B340" s="16" t="s">
        <v>58</v>
      </c>
      <c r="C340" s="16" t="str">
        <f t="shared" si="1"/>
        <v>Guadalajara</v>
      </c>
      <c r="D340" s="16" t="str">
        <f t="shared" si="2"/>
        <v>Guadalajara</v>
      </c>
      <c r="E340" s="16" t="str">
        <f t="shared" si="3"/>
        <v>Guadalajara</v>
      </c>
      <c r="F340" s="16" t="s">
        <v>282</v>
      </c>
      <c r="G340" s="17" t="str">
        <f>IFERROR(__xludf.DUMMYFUNCTION("SPLIT(F340:F1339,""-"") "),"Tablet")</f>
        <v>Tablet</v>
      </c>
      <c r="H340" s="16" t="str">
        <f>IFERROR(__xludf.DUMMYFUNCTION("""COMPUTED_VALUE"""),"Pro")</f>
        <v>Pro</v>
      </c>
      <c r="I340" s="16" t="str">
        <f>IFERROR(__xludf.DUMMYFUNCTION("""COMPUTED_VALUE"""),"16GB")</f>
        <v>16GB</v>
      </c>
      <c r="J340" s="18">
        <v>2264.15</v>
      </c>
      <c r="K340" s="16">
        <v>5.0</v>
      </c>
      <c r="L340" s="18">
        <v>11320.75</v>
      </c>
      <c r="M340" s="16" t="s">
        <v>326</v>
      </c>
      <c r="N340" s="16" t="s">
        <v>327</v>
      </c>
      <c r="O340" s="16" t="s">
        <v>328</v>
      </c>
    </row>
    <row r="341" ht="15.75" customHeight="1">
      <c r="A341" s="23">
        <v>45422.0</v>
      </c>
      <c r="B341" s="16" t="s">
        <v>14</v>
      </c>
      <c r="C341" s="16" t="str">
        <f t="shared" si="1"/>
        <v>Bogotá</v>
      </c>
      <c r="D341" s="16" t="str">
        <f t="shared" si="2"/>
        <v>Bogotá</v>
      </c>
      <c r="E341" s="16" t="str">
        <f t="shared" si="3"/>
        <v>Bogotá</v>
      </c>
      <c r="F341" s="16" t="s">
        <v>15</v>
      </c>
      <c r="G341" s="17" t="str">
        <f>IFERROR(__xludf.DUMMYFUNCTION("SPLIT(F341:F1340,""-"") "),"Auriculares")</f>
        <v>Auriculares</v>
      </c>
      <c r="H341" s="16" t="str">
        <f>IFERROR(__xludf.DUMMYFUNCTION("""COMPUTED_VALUE"""),"Con cable")</f>
        <v>Con cable</v>
      </c>
      <c r="I341" s="16" t="str">
        <f>IFERROR(__xludf.DUMMYFUNCTION("""COMPUTED_VALUE"""),"32GB")</f>
        <v>32GB</v>
      </c>
      <c r="J341" s="18">
        <v>226.25</v>
      </c>
      <c r="K341" s="16">
        <v>2.0</v>
      </c>
      <c r="L341" s="22">
        <f>J341*K341</f>
        <v>452.5</v>
      </c>
      <c r="M341" s="16" t="s">
        <v>2569</v>
      </c>
      <c r="N341" s="16" t="s">
        <v>2570</v>
      </c>
      <c r="O341" s="16" t="s">
        <v>2571</v>
      </c>
    </row>
    <row r="342" ht="15.75" customHeight="1">
      <c r="A342" s="19">
        <v>45645.0</v>
      </c>
      <c r="B342" s="16" t="s">
        <v>35</v>
      </c>
      <c r="C342" s="16" t="str">
        <f t="shared" si="1"/>
        <v>Medellín</v>
      </c>
      <c r="D342" s="16" t="str">
        <f t="shared" si="2"/>
        <v>Medellín</v>
      </c>
      <c r="E342" s="16" t="str">
        <f t="shared" si="3"/>
        <v>Medellín</v>
      </c>
      <c r="F342" s="16" t="s">
        <v>132</v>
      </c>
      <c r="G342" s="17" t="str">
        <f>IFERROR(__xludf.DUMMYFUNCTION("SPLIT(F342:F1341,""-"") "),"Tablet")</f>
        <v>Tablet</v>
      </c>
      <c r="H342" s="16" t="str">
        <f>IFERROR(__xludf.DUMMYFUNCTION("""COMPUTED_VALUE"""),"Pro")</f>
        <v>Pro</v>
      </c>
      <c r="I342" s="16" t="str">
        <f>IFERROR(__xludf.DUMMYFUNCTION("""COMPUTED_VALUE"""),"8GB")</f>
        <v>8GB</v>
      </c>
      <c r="J342" s="18">
        <v>720.31</v>
      </c>
      <c r="K342" s="16">
        <v>3.0</v>
      </c>
      <c r="L342" s="18">
        <v>2160.93</v>
      </c>
      <c r="M342" s="16" t="s">
        <v>1978</v>
      </c>
      <c r="N342" s="16" t="s">
        <v>1979</v>
      </c>
      <c r="O342" s="16" t="s">
        <v>1980</v>
      </c>
    </row>
    <row r="343" ht="15.75" customHeight="1">
      <c r="A343" s="19">
        <v>45615.0</v>
      </c>
      <c r="B343" s="16" t="s">
        <v>35</v>
      </c>
      <c r="C343" s="16" t="str">
        <f t="shared" si="1"/>
        <v>Medellín</v>
      </c>
      <c r="D343" s="16" t="str">
        <f t="shared" si="2"/>
        <v>Medellín</v>
      </c>
      <c r="E343" s="16" t="str">
        <f t="shared" si="3"/>
        <v>Medellín</v>
      </c>
      <c r="F343" s="16" t="s">
        <v>218</v>
      </c>
      <c r="G343" s="17" t="str">
        <f>IFERROR(__xludf.DUMMYFUNCTION("SPLIT(F343:F1342,""-"") "),"Teléfono")</f>
        <v>Teléfono</v>
      </c>
      <c r="H343" s="16" t="str">
        <f>IFERROR(__xludf.DUMMYFUNCTION("""COMPUTED_VALUE"""),"Gama media")</f>
        <v>Gama media</v>
      </c>
      <c r="I343" s="16" t="str">
        <f>IFERROR(__xludf.DUMMYFUNCTION("""COMPUTED_VALUE"""),"4GB")</f>
        <v>4GB</v>
      </c>
      <c r="J343" s="18">
        <v>1620.89</v>
      </c>
      <c r="K343" s="16">
        <v>3.0</v>
      </c>
      <c r="L343" s="18">
        <v>4862.67</v>
      </c>
      <c r="M343" s="16" t="s">
        <v>1266</v>
      </c>
      <c r="N343" s="16" t="s">
        <v>1267</v>
      </c>
      <c r="O343" s="16" t="s">
        <v>1268</v>
      </c>
    </row>
    <row r="344" ht="15.75" customHeight="1">
      <c r="A344" s="24">
        <v>45603.0</v>
      </c>
      <c r="B344" s="16" t="s">
        <v>14</v>
      </c>
      <c r="C344" s="16" t="str">
        <f t="shared" si="1"/>
        <v>Bogotá</v>
      </c>
      <c r="D344" s="16" t="str">
        <f t="shared" si="2"/>
        <v>Bogotá</v>
      </c>
      <c r="E344" s="16" t="str">
        <f t="shared" si="3"/>
        <v>Bogotá</v>
      </c>
      <c r="F344" s="16" t="s">
        <v>132</v>
      </c>
      <c r="G344" s="17" t="str">
        <f>IFERROR(__xludf.DUMMYFUNCTION("SPLIT(F344:F1343,""-"") "),"Tablet")</f>
        <v>Tablet</v>
      </c>
      <c r="H344" s="16" t="str">
        <f>IFERROR(__xludf.DUMMYFUNCTION("""COMPUTED_VALUE"""),"Pro")</f>
        <v>Pro</v>
      </c>
      <c r="I344" s="16" t="str">
        <f>IFERROR(__xludf.DUMMYFUNCTION("""COMPUTED_VALUE"""),"8GB")</f>
        <v>8GB</v>
      </c>
      <c r="J344" s="18">
        <v>1912.83</v>
      </c>
      <c r="K344" s="16">
        <v>2.0</v>
      </c>
      <c r="L344" s="18">
        <v>3825.66</v>
      </c>
      <c r="M344" s="16" t="s">
        <v>879</v>
      </c>
      <c r="N344" s="16" t="s">
        <v>880</v>
      </c>
      <c r="O344" s="16" t="s">
        <v>881</v>
      </c>
    </row>
    <row r="345" ht="15.75" customHeight="1">
      <c r="A345" s="19">
        <v>45624.0</v>
      </c>
      <c r="B345" s="16" t="s">
        <v>9</v>
      </c>
      <c r="C345" s="16" t="str">
        <f t="shared" si="1"/>
        <v>Monterrey</v>
      </c>
      <c r="D345" s="16" t="str">
        <f t="shared" si="2"/>
        <v>Monterrey</v>
      </c>
      <c r="E345" s="16" t="str">
        <f t="shared" si="3"/>
        <v>Monterrey</v>
      </c>
      <c r="F345" s="16" t="s">
        <v>229</v>
      </c>
      <c r="G345" s="17" t="str">
        <f>IFERROR(__xludf.DUMMYFUNCTION("SPLIT(F345:F1344,""-"") "),"Laptop")</f>
        <v>Laptop</v>
      </c>
      <c r="H345" s="16" t="str">
        <f>IFERROR(__xludf.DUMMYFUNCTION("""COMPUTED_VALUE"""),"Oficina")</f>
        <v>Oficina</v>
      </c>
      <c r="I345" s="16" t="str">
        <f>IFERROR(__xludf.DUMMYFUNCTION("""COMPUTED_VALUE"""),"4GB")</f>
        <v>4GB</v>
      </c>
      <c r="J345" s="18">
        <v>1168.3</v>
      </c>
      <c r="K345" s="16">
        <v>3.0</v>
      </c>
      <c r="L345" s="18">
        <v>3504.9</v>
      </c>
      <c r="M345" s="16" t="s">
        <v>1568</v>
      </c>
      <c r="N345" s="16" t="s">
        <v>1569</v>
      </c>
      <c r="O345" s="16" t="s">
        <v>1570</v>
      </c>
    </row>
    <row r="346" ht="15.75" customHeight="1">
      <c r="A346" s="23">
        <v>45608.0</v>
      </c>
      <c r="B346" s="16" t="s">
        <v>75</v>
      </c>
      <c r="C346" s="16" t="str">
        <f t="shared" si="1"/>
        <v>Cali</v>
      </c>
      <c r="D346" s="16" t="str">
        <f t="shared" si="2"/>
        <v>Cali</v>
      </c>
      <c r="E346" s="16" t="str">
        <f t="shared" si="3"/>
        <v>Cali</v>
      </c>
      <c r="F346" s="16" t="s">
        <v>85</v>
      </c>
      <c r="G346" s="17" t="str">
        <f>IFERROR(__xludf.DUMMYFUNCTION("SPLIT(F346:F1345,""-"") "),"Teléfono")</f>
        <v>Teléfono</v>
      </c>
      <c r="H346" s="16" t="str">
        <f>IFERROR(__xludf.DUMMYFUNCTION("""COMPUTED_VALUE"""),"Gama media")</f>
        <v>Gama media</v>
      </c>
      <c r="I346" s="16" t="str">
        <f>IFERROR(__xludf.DUMMYFUNCTION("""COMPUTED_VALUE"""),"32GB")</f>
        <v>32GB</v>
      </c>
      <c r="J346" s="18">
        <v>1281.78</v>
      </c>
      <c r="K346" s="16">
        <v>3.0</v>
      </c>
      <c r="L346" s="18">
        <v>3845.34</v>
      </c>
      <c r="M346" s="16" t="s">
        <v>1009</v>
      </c>
      <c r="N346" s="16" t="s">
        <v>1010</v>
      </c>
      <c r="O346" s="16" t="s">
        <v>1011</v>
      </c>
    </row>
    <row r="347" ht="15.75" customHeight="1">
      <c r="A347" s="23">
        <v>45422.0</v>
      </c>
      <c r="B347" s="16" t="s">
        <v>75</v>
      </c>
      <c r="C347" s="16" t="str">
        <f t="shared" si="1"/>
        <v>Cali</v>
      </c>
      <c r="D347" s="16" t="str">
        <f t="shared" si="2"/>
        <v>Cali</v>
      </c>
      <c r="E347" s="16" t="str">
        <f t="shared" si="3"/>
        <v>Cali</v>
      </c>
      <c r="F347" s="16" t="s">
        <v>139</v>
      </c>
      <c r="G347" s="17" t="str">
        <f>IFERROR(__xludf.DUMMYFUNCTION("SPLIT(F347:F1346,""-"") "),"Auriculares")</f>
        <v>Auriculares</v>
      </c>
      <c r="H347" s="16" t="str">
        <f>IFERROR(__xludf.DUMMYFUNCTION("""COMPUTED_VALUE"""),"Con cable")</f>
        <v>Con cable</v>
      </c>
      <c r="I347" s="16" t="str">
        <f>IFERROR(__xludf.DUMMYFUNCTION("""COMPUTED_VALUE"""),"16GB")</f>
        <v>16GB</v>
      </c>
      <c r="J347" s="18">
        <v>1656.61</v>
      </c>
      <c r="K347" s="16">
        <v>3.0</v>
      </c>
      <c r="L347" s="18">
        <v>4969.83</v>
      </c>
      <c r="M347" s="16" t="s">
        <v>2572</v>
      </c>
      <c r="N347" s="16" t="s">
        <v>2573</v>
      </c>
      <c r="O347" s="16" t="s">
        <v>2574</v>
      </c>
    </row>
    <row r="348" ht="15.75" customHeight="1">
      <c r="A348" s="19">
        <v>45613.0</v>
      </c>
      <c r="B348" s="16" t="s">
        <v>75</v>
      </c>
      <c r="C348" s="16" t="str">
        <f t="shared" si="1"/>
        <v>Cali</v>
      </c>
      <c r="D348" s="16" t="str">
        <f t="shared" si="2"/>
        <v>Cali</v>
      </c>
      <c r="E348" s="16" t="str">
        <f t="shared" si="3"/>
        <v>Cali</v>
      </c>
      <c r="F348" s="16" t="s">
        <v>76</v>
      </c>
      <c r="G348" s="17" t="str">
        <f>IFERROR(__xludf.DUMMYFUNCTION("SPLIT(F348:F1347,""-"") "),"Tablet")</f>
        <v>Tablet</v>
      </c>
      <c r="H348" s="16" t="str">
        <f>IFERROR(__xludf.DUMMYFUNCTION("""COMPUTED_VALUE"""),"Mini")</f>
        <v>Mini</v>
      </c>
      <c r="I348" s="16" t="str">
        <f>IFERROR(__xludf.DUMMYFUNCTION("""COMPUTED_VALUE"""),"32GB")</f>
        <v>32GB</v>
      </c>
      <c r="J348" s="18">
        <v>2030.7</v>
      </c>
      <c r="K348" s="16">
        <v>2.0</v>
      </c>
      <c r="L348" s="18">
        <v>4061.4</v>
      </c>
      <c r="M348" s="16" t="s">
        <v>1203</v>
      </c>
      <c r="N348" s="16" t="s">
        <v>1204</v>
      </c>
      <c r="O348" s="16" t="s">
        <v>1205</v>
      </c>
    </row>
    <row r="349" ht="15.75" customHeight="1">
      <c r="A349" s="19">
        <v>45620.0</v>
      </c>
      <c r="B349" s="16" t="s">
        <v>75</v>
      </c>
      <c r="C349" s="16" t="str">
        <f t="shared" si="1"/>
        <v>Cali</v>
      </c>
      <c r="D349" s="16" t="str">
        <f t="shared" si="2"/>
        <v>Cali</v>
      </c>
      <c r="E349" s="16" t="str">
        <f t="shared" si="3"/>
        <v>Cali</v>
      </c>
      <c r="F349" s="16" t="s">
        <v>81</v>
      </c>
      <c r="G349" s="17" t="str">
        <f>IFERROR(__xludf.DUMMYFUNCTION("SPLIT(F349:F1348,""-"") "),"Laptop")</f>
        <v>Laptop</v>
      </c>
      <c r="H349" s="16" t="str">
        <f>IFERROR(__xludf.DUMMYFUNCTION("""COMPUTED_VALUE"""),"Oficina")</f>
        <v>Oficina</v>
      </c>
      <c r="I349" s="16" t="str">
        <f>IFERROR(__xludf.DUMMYFUNCTION("""COMPUTED_VALUE"""),"16GB")</f>
        <v>16GB</v>
      </c>
      <c r="J349" s="18">
        <v>649.99</v>
      </c>
      <c r="K349" s="16">
        <v>2.0</v>
      </c>
      <c r="L349" s="18">
        <v>1299.98</v>
      </c>
      <c r="M349" s="16" t="s">
        <v>1444</v>
      </c>
      <c r="N349" s="16" t="s">
        <v>1445</v>
      </c>
      <c r="O349" s="16" t="s">
        <v>1446</v>
      </c>
    </row>
    <row r="350" ht="15.75" customHeight="1">
      <c r="A350" s="19">
        <v>45580.0</v>
      </c>
      <c r="B350" s="16" t="s">
        <v>35</v>
      </c>
      <c r="C350" s="16" t="str">
        <f t="shared" si="1"/>
        <v>Medellín</v>
      </c>
      <c r="D350" s="16" t="str">
        <f t="shared" si="2"/>
        <v>Medellín</v>
      </c>
      <c r="E350" s="16" t="str">
        <f t="shared" si="3"/>
        <v>Medellín</v>
      </c>
      <c r="F350" s="16" t="s">
        <v>182</v>
      </c>
      <c r="G350" s="17" t="str">
        <f>IFERROR(__xludf.DUMMYFUNCTION("SPLIT(F350:F1349,""-"") "),"Tablet")</f>
        <v>Tablet</v>
      </c>
      <c r="H350" s="16" t="str">
        <f>IFERROR(__xludf.DUMMYFUNCTION("""COMPUTED_VALUE"""),"Mini")</f>
        <v>Mini</v>
      </c>
      <c r="I350" s="16" t="str">
        <f>IFERROR(__xludf.DUMMYFUNCTION("""COMPUTED_VALUE"""),"4GB")</f>
        <v>4GB</v>
      </c>
      <c r="J350" s="18">
        <v>68.0</v>
      </c>
      <c r="K350" s="16">
        <v>3.0</v>
      </c>
      <c r="L350" s="18">
        <v>204.0</v>
      </c>
      <c r="M350" s="16" t="s">
        <v>269</v>
      </c>
      <c r="N350" s="16" t="s">
        <v>270</v>
      </c>
      <c r="O350" s="16" t="s">
        <v>271</v>
      </c>
    </row>
    <row r="351" ht="15.75" customHeight="1">
      <c r="A351" s="19">
        <v>45588.0</v>
      </c>
      <c r="B351" s="16" t="s">
        <v>58</v>
      </c>
      <c r="C351" s="16" t="str">
        <f t="shared" si="1"/>
        <v>Guadalajara</v>
      </c>
      <c r="D351" s="16" t="str">
        <f t="shared" si="2"/>
        <v>Guadalajara</v>
      </c>
      <c r="E351" s="16" t="str">
        <f t="shared" si="3"/>
        <v>Guadalajara</v>
      </c>
      <c r="F351" s="16" t="s">
        <v>282</v>
      </c>
      <c r="G351" s="17" t="str">
        <f>IFERROR(__xludf.DUMMYFUNCTION("SPLIT(F351:F1350,""-"") "),"Tablet")</f>
        <v>Tablet</v>
      </c>
      <c r="H351" s="16" t="str">
        <f>IFERROR(__xludf.DUMMYFUNCTION("""COMPUTED_VALUE"""),"Pro")</f>
        <v>Pro</v>
      </c>
      <c r="I351" s="16" t="str">
        <f>IFERROR(__xludf.DUMMYFUNCTION("""COMPUTED_VALUE"""),"16GB")</f>
        <v>16GB</v>
      </c>
      <c r="J351" s="18">
        <v>348.21</v>
      </c>
      <c r="K351" s="16">
        <v>5.0</v>
      </c>
      <c r="L351" s="18">
        <v>1741.05</v>
      </c>
      <c r="M351" s="16" t="s">
        <v>550</v>
      </c>
      <c r="N351" s="16" t="s">
        <v>551</v>
      </c>
      <c r="O351" s="16" t="s">
        <v>552</v>
      </c>
    </row>
    <row r="352" ht="15.75" customHeight="1">
      <c r="A352" s="23">
        <v>45637.0</v>
      </c>
      <c r="B352" s="16" t="s">
        <v>9</v>
      </c>
      <c r="C352" s="16" t="str">
        <f t="shared" si="1"/>
        <v>Monterrey</v>
      </c>
      <c r="D352" s="16" t="str">
        <f t="shared" si="2"/>
        <v>Monterrey</v>
      </c>
      <c r="E352" s="16" t="str">
        <f t="shared" si="3"/>
        <v>Monterrey</v>
      </c>
      <c r="F352" s="16" t="s">
        <v>76</v>
      </c>
      <c r="G352" s="17" t="str">
        <f>IFERROR(__xludf.DUMMYFUNCTION("SPLIT(F352:F1351,""-"") "),"Tablet")</f>
        <v>Tablet</v>
      </c>
      <c r="H352" s="16" t="str">
        <f>IFERROR(__xludf.DUMMYFUNCTION("""COMPUTED_VALUE"""),"Mini")</f>
        <v>Mini</v>
      </c>
      <c r="I352" s="16" t="str">
        <f>IFERROR(__xludf.DUMMYFUNCTION("""COMPUTED_VALUE"""),"32GB")</f>
        <v>32GB</v>
      </c>
      <c r="J352" s="18">
        <v>782.8</v>
      </c>
      <c r="K352" s="16">
        <v>2.0</v>
      </c>
      <c r="L352" s="18">
        <v>1565.6</v>
      </c>
      <c r="M352" s="16" t="s">
        <v>1769</v>
      </c>
      <c r="N352" s="16" t="s">
        <v>1770</v>
      </c>
      <c r="O352" s="16" t="s">
        <v>1771</v>
      </c>
    </row>
    <row r="353" ht="15.75" customHeight="1">
      <c r="A353" s="19">
        <v>45609.0</v>
      </c>
      <c r="B353" s="16" t="s">
        <v>2359</v>
      </c>
      <c r="C353" s="16" t="str">
        <f t="shared" si="1"/>
        <v>Ciudad De M√©Xico</v>
      </c>
      <c r="D353" s="16" t="str">
        <f t="shared" si="2"/>
        <v>Ciudad De M√©Xico</v>
      </c>
      <c r="E353" s="16" t="str">
        <f t="shared" si="3"/>
        <v>Ciudad De MéXico</v>
      </c>
      <c r="F353" s="16" t="s">
        <v>319</v>
      </c>
      <c r="G353" s="17" t="str">
        <f>IFERROR(__xludf.DUMMYFUNCTION("SPLIT(F353:F1352,""-"") "),"Tablet")</f>
        <v>Tablet</v>
      </c>
      <c r="H353" s="16" t="str">
        <f>IFERROR(__xludf.DUMMYFUNCTION("""COMPUTED_VALUE"""),"Pro")</f>
        <v>Pro</v>
      </c>
      <c r="I353" s="16" t="str">
        <f>IFERROR(__xludf.DUMMYFUNCTION("""COMPUTED_VALUE"""),"32GB")</f>
        <v>32GB</v>
      </c>
      <c r="J353" s="18">
        <v>2393.92</v>
      </c>
      <c r="K353" s="16">
        <v>3.0</v>
      </c>
      <c r="L353" s="18">
        <v>7181.76</v>
      </c>
      <c r="M353" s="16" t="s">
        <v>1042</v>
      </c>
      <c r="N353" s="16" t="s">
        <v>1043</v>
      </c>
      <c r="O353" s="16" t="s">
        <v>1044</v>
      </c>
    </row>
    <row r="354" ht="15.75" customHeight="1">
      <c r="A354" s="23">
        <v>45455.0</v>
      </c>
      <c r="B354" s="16" t="s">
        <v>35</v>
      </c>
      <c r="C354" s="16" t="str">
        <f t="shared" si="1"/>
        <v>Medellín</v>
      </c>
      <c r="D354" s="16" t="str">
        <f t="shared" si="2"/>
        <v>Medellín</v>
      </c>
      <c r="E354" s="16" t="str">
        <f t="shared" si="3"/>
        <v>Medellín</v>
      </c>
      <c r="F354" s="16" t="s">
        <v>125</v>
      </c>
      <c r="G354" s="17" t="str">
        <f>IFERROR(__xludf.DUMMYFUNCTION("SPLIT(F354:F1353,""-"") "),"Tel√©fono")</f>
        <v>Tel√©fono</v>
      </c>
      <c r="H354" s="16" t="str">
        <f>IFERROR(__xludf.DUMMYFUNCTION("""COMPUTED_VALUE"""),"Gama media")</f>
        <v>Gama media</v>
      </c>
      <c r="I354" s="16" t="str">
        <f>IFERROR(__xludf.DUMMYFUNCTION("""COMPUTED_VALUE"""),"8GB")</f>
        <v>8GB</v>
      </c>
      <c r="J354" s="18">
        <v>825.08</v>
      </c>
      <c r="K354" s="16">
        <v>4.0</v>
      </c>
      <c r="L354" s="18">
        <v>3300.32</v>
      </c>
      <c r="M354" s="16" t="s">
        <v>2575</v>
      </c>
      <c r="N354" s="16" t="s">
        <v>2576</v>
      </c>
      <c r="O354" s="16" t="s">
        <v>2577</v>
      </c>
    </row>
    <row r="355" ht="15.75" customHeight="1">
      <c r="A355" s="23">
        <v>45334.0</v>
      </c>
      <c r="B355" s="16" t="s">
        <v>35</v>
      </c>
      <c r="C355" s="16" t="str">
        <f t="shared" si="1"/>
        <v>Medellín</v>
      </c>
      <c r="D355" s="16" t="str">
        <f t="shared" si="2"/>
        <v>Medellín</v>
      </c>
      <c r="E355" s="16" t="str">
        <f t="shared" si="3"/>
        <v>Medellín</v>
      </c>
      <c r="F355" s="16" t="s">
        <v>15</v>
      </c>
      <c r="G355" s="17" t="str">
        <f>IFERROR(__xludf.DUMMYFUNCTION("SPLIT(F355:F1354,""-"") "),"Auriculares")</f>
        <v>Auriculares</v>
      </c>
      <c r="H355" s="16" t="str">
        <f>IFERROR(__xludf.DUMMYFUNCTION("""COMPUTED_VALUE"""),"Con cable")</f>
        <v>Con cable</v>
      </c>
      <c r="I355" s="16" t="str">
        <f>IFERROR(__xludf.DUMMYFUNCTION("""COMPUTED_VALUE"""),"32GB")</f>
        <v>32GB</v>
      </c>
      <c r="J355" s="18">
        <v>2323.09</v>
      </c>
      <c r="K355" s="16">
        <v>1.0</v>
      </c>
      <c r="L355" s="18">
        <v>2323.09</v>
      </c>
      <c r="M355" s="16" t="s">
        <v>2578</v>
      </c>
      <c r="N355" s="16" t="s">
        <v>2579</v>
      </c>
      <c r="O355" s="16" t="s">
        <v>2580</v>
      </c>
    </row>
    <row r="356" ht="15.75" customHeight="1">
      <c r="A356" s="19">
        <v>45589.0</v>
      </c>
      <c r="B356" s="16" t="s">
        <v>9</v>
      </c>
      <c r="C356" s="16" t="str">
        <f t="shared" si="1"/>
        <v>Monterrey</v>
      </c>
      <c r="D356" s="16" t="str">
        <f t="shared" si="2"/>
        <v>Monterrey</v>
      </c>
      <c r="E356" s="16" t="str">
        <f t="shared" si="3"/>
        <v>Monterrey</v>
      </c>
      <c r="F356" s="16" t="s">
        <v>167</v>
      </c>
      <c r="G356" s="17" t="str">
        <f>IFERROR(__xludf.DUMMYFUNCTION("SPLIT(F356:F1355,""-"") "),"Auriculares")</f>
        <v>Auriculares</v>
      </c>
      <c r="H356" s="16" t="str">
        <f>IFERROR(__xludf.DUMMYFUNCTION("""COMPUTED_VALUE"""),"Bluetooth")</f>
        <v>Bluetooth</v>
      </c>
      <c r="I356" s="16" t="str">
        <f>IFERROR(__xludf.DUMMYFUNCTION("""COMPUTED_VALUE"""),"32GB")</f>
        <v>32GB</v>
      </c>
      <c r="J356" s="18">
        <v>1518.43</v>
      </c>
      <c r="K356" s="16">
        <v>5.0</v>
      </c>
      <c r="L356" s="18">
        <v>7592.15</v>
      </c>
      <c r="M356" s="16" t="s">
        <v>593</v>
      </c>
      <c r="N356" s="16" t="s">
        <v>594</v>
      </c>
      <c r="O356" s="16" t="s">
        <v>595</v>
      </c>
    </row>
    <row r="357" ht="15.75" customHeight="1">
      <c r="A357" s="23">
        <v>45362.0</v>
      </c>
      <c r="B357" s="16" t="s">
        <v>35</v>
      </c>
      <c r="C357" s="16" t="str">
        <f t="shared" si="1"/>
        <v>Medellín</v>
      </c>
      <c r="D357" s="16" t="str">
        <f t="shared" si="2"/>
        <v>Medellín</v>
      </c>
      <c r="E357" s="16" t="str">
        <f t="shared" si="3"/>
        <v>Medellín</v>
      </c>
      <c r="F357" s="16" t="s">
        <v>182</v>
      </c>
      <c r="G357" s="17" t="str">
        <f>IFERROR(__xludf.DUMMYFUNCTION("SPLIT(F357:F1356,""-"") "),"Tablet")</f>
        <v>Tablet</v>
      </c>
      <c r="H357" s="16" t="str">
        <f>IFERROR(__xludf.DUMMYFUNCTION("""COMPUTED_VALUE"""),"Mini")</f>
        <v>Mini</v>
      </c>
      <c r="I357" s="16" t="str">
        <f>IFERROR(__xludf.DUMMYFUNCTION("""COMPUTED_VALUE"""),"4GB")</f>
        <v>4GB</v>
      </c>
      <c r="J357" s="18">
        <v>1779.15</v>
      </c>
      <c r="K357" s="16">
        <v>5.0</v>
      </c>
      <c r="L357" s="18">
        <v>8895.75</v>
      </c>
      <c r="M357" s="16" t="s">
        <v>2581</v>
      </c>
      <c r="N357" s="16" t="s">
        <v>2582</v>
      </c>
      <c r="O357" s="16" t="s">
        <v>2583</v>
      </c>
    </row>
    <row r="358" ht="15.75" customHeight="1">
      <c r="A358" s="19">
        <v>45610.0</v>
      </c>
      <c r="B358" s="16" t="s">
        <v>58</v>
      </c>
      <c r="C358" s="16" t="str">
        <f t="shared" si="1"/>
        <v>Guadalajara</v>
      </c>
      <c r="D358" s="16" t="str">
        <f t="shared" si="2"/>
        <v>Guadalajara</v>
      </c>
      <c r="E358" s="16" t="str">
        <f t="shared" si="3"/>
        <v>Guadalajara</v>
      </c>
      <c r="F358" s="16" t="s">
        <v>15</v>
      </c>
      <c r="G358" s="17" t="str">
        <f>IFERROR(__xludf.DUMMYFUNCTION("SPLIT(F358:F1357,""-"") "),"Auriculares")</f>
        <v>Auriculares</v>
      </c>
      <c r="H358" s="16" t="str">
        <f>IFERROR(__xludf.DUMMYFUNCTION("""COMPUTED_VALUE"""),"Con cable")</f>
        <v>Con cable</v>
      </c>
      <c r="I358" s="16" t="str">
        <f>IFERROR(__xludf.DUMMYFUNCTION("""COMPUTED_VALUE"""),"32GB")</f>
        <v>32GB</v>
      </c>
      <c r="J358" s="18">
        <v>1051.49</v>
      </c>
      <c r="K358" s="16">
        <v>3.0</v>
      </c>
      <c r="L358" s="18">
        <v>3154.47</v>
      </c>
      <c r="M358" s="16" t="s">
        <v>1078</v>
      </c>
      <c r="N358" s="16" t="s">
        <v>1079</v>
      </c>
      <c r="O358" s="16" t="s">
        <v>1080</v>
      </c>
    </row>
    <row r="359" ht="15.75" customHeight="1">
      <c r="A359" s="19">
        <v>45360.0</v>
      </c>
      <c r="B359" s="16" t="s">
        <v>89</v>
      </c>
      <c r="C359" s="16" t="str">
        <f t="shared" si="1"/>
        <v>Tulum</v>
      </c>
      <c r="D359" s="16" t="str">
        <f t="shared" si="2"/>
        <v>Tulum</v>
      </c>
      <c r="E359" s="16" t="str">
        <f t="shared" si="3"/>
        <v>Tulum</v>
      </c>
      <c r="F359" s="16" t="s">
        <v>190</v>
      </c>
      <c r="G359" s="17" t="str">
        <f>IFERROR(__xludf.DUMMYFUNCTION("SPLIT(F359:F1358,""-"") "),"Laptop")</f>
        <v>Laptop</v>
      </c>
      <c r="H359" s="16" t="str">
        <f>IFERROR(__xludf.DUMMYFUNCTION("""COMPUTED_VALUE"""),"Ultraliviana")</f>
        <v>Ultraliviana</v>
      </c>
      <c r="I359" s="16" t="str">
        <f>IFERROR(__xludf.DUMMYFUNCTION("""COMPUTED_VALUE"""),"16GB")</f>
        <v>16GB</v>
      </c>
      <c r="J359" s="18">
        <v>1014.61</v>
      </c>
      <c r="K359" s="16">
        <v>2.0</v>
      </c>
      <c r="L359" s="18">
        <v>2029.22</v>
      </c>
      <c r="M359" s="16" t="s">
        <v>2584</v>
      </c>
      <c r="N359" s="16" t="s">
        <v>2585</v>
      </c>
      <c r="O359" s="16" t="s">
        <v>2586</v>
      </c>
    </row>
    <row r="360" ht="15.75" customHeight="1">
      <c r="A360" s="23">
        <v>45422.0</v>
      </c>
      <c r="B360" s="16" t="s">
        <v>14</v>
      </c>
      <c r="C360" s="16" t="str">
        <f t="shared" si="1"/>
        <v>Bogotá</v>
      </c>
      <c r="D360" s="16" t="str">
        <f t="shared" si="2"/>
        <v>Bogotá</v>
      </c>
      <c r="E360" s="16" t="str">
        <f t="shared" si="3"/>
        <v>Bogotá</v>
      </c>
      <c r="F360" s="16" t="s">
        <v>373</v>
      </c>
      <c r="G360" s="17" t="str">
        <f>IFERROR(__xludf.DUMMYFUNCTION("SPLIT(F360:F1359,""-"") "),"Teléfono")</f>
        <v>Teléfono</v>
      </c>
      <c r="H360" s="16" t="str">
        <f>IFERROR(__xludf.DUMMYFUNCTION("""COMPUTED_VALUE"""),"Gama media")</f>
        <v>Gama media</v>
      </c>
      <c r="I360" s="16" t="str">
        <f>IFERROR(__xludf.DUMMYFUNCTION("""COMPUTED_VALUE"""),"16GB")</f>
        <v>16GB</v>
      </c>
      <c r="J360" s="18">
        <v>1745.0</v>
      </c>
      <c r="K360" s="16">
        <v>5.0</v>
      </c>
      <c r="L360" s="18">
        <v>8725.0</v>
      </c>
      <c r="M360" s="16" t="s">
        <v>2587</v>
      </c>
      <c r="N360" s="16" t="s">
        <v>2588</v>
      </c>
      <c r="O360" s="16" t="s">
        <v>2589</v>
      </c>
    </row>
    <row r="361" ht="15.75" customHeight="1">
      <c r="A361" s="19">
        <v>45618.0</v>
      </c>
      <c r="B361" s="16" t="s">
        <v>9</v>
      </c>
      <c r="C361" s="16" t="str">
        <f t="shared" si="1"/>
        <v>Monterrey</v>
      </c>
      <c r="D361" s="16" t="str">
        <f t="shared" si="2"/>
        <v>Monterrey</v>
      </c>
      <c r="E361" s="16" t="str">
        <f t="shared" si="3"/>
        <v>Monterrey</v>
      </c>
      <c r="F361" s="16" t="s">
        <v>430</v>
      </c>
      <c r="G361" s="17" t="str">
        <f>IFERROR(__xludf.DUMMYFUNCTION("SPLIT(F361:F1360,""-"") "),"Teléfono")</f>
        <v>Teléfono</v>
      </c>
      <c r="H361" s="16" t="str">
        <f>IFERROR(__xludf.DUMMYFUNCTION("""COMPUTED_VALUE"""),"Gama alta")</f>
        <v>Gama alta</v>
      </c>
      <c r="I361" s="16" t="str">
        <f>IFERROR(__xludf.DUMMYFUNCTION("""COMPUTED_VALUE"""),"4GB")</f>
        <v>4GB</v>
      </c>
      <c r="J361" s="18">
        <v>1273.61</v>
      </c>
      <c r="K361" s="16">
        <v>4.0</v>
      </c>
      <c r="L361" s="18">
        <v>5094.44</v>
      </c>
      <c r="M361" s="16" t="s">
        <v>1377</v>
      </c>
      <c r="N361" s="16" t="s">
        <v>1378</v>
      </c>
      <c r="O361" s="16" t="s">
        <v>1379</v>
      </c>
    </row>
    <row r="362" ht="15.75" customHeight="1">
      <c r="A362" s="23">
        <v>45453.0</v>
      </c>
      <c r="B362" s="16" t="s">
        <v>9</v>
      </c>
      <c r="C362" s="16" t="str">
        <f t="shared" si="1"/>
        <v>Monterrey</v>
      </c>
      <c r="D362" s="16" t="str">
        <f t="shared" si="2"/>
        <v>Monterrey</v>
      </c>
      <c r="E362" s="16" t="str">
        <f t="shared" si="3"/>
        <v>Monterrey</v>
      </c>
      <c r="F362" s="16" t="s">
        <v>125</v>
      </c>
      <c r="G362" s="17" t="str">
        <f>IFERROR(__xludf.DUMMYFUNCTION("SPLIT(F362:F1361,""-"") "),"Tel√©fono")</f>
        <v>Tel√©fono</v>
      </c>
      <c r="H362" s="16" t="str">
        <f>IFERROR(__xludf.DUMMYFUNCTION("""COMPUTED_VALUE"""),"Gama media")</f>
        <v>Gama media</v>
      </c>
      <c r="I362" s="16" t="str">
        <f>IFERROR(__xludf.DUMMYFUNCTION("""COMPUTED_VALUE"""),"8GB")</f>
        <v>8GB</v>
      </c>
      <c r="J362" s="18">
        <v>1361.77</v>
      </c>
      <c r="K362" s="16">
        <v>2.0</v>
      </c>
      <c r="L362" s="18">
        <v>2723.54</v>
      </c>
      <c r="M362" s="16" t="s">
        <v>2590</v>
      </c>
      <c r="N362" s="16" t="s">
        <v>2591</v>
      </c>
      <c r="O362" s="16" t="s">
        <v>2592</v>
      </c>
    </row>
    <row r="363" ht="15.75" customHeight="1">
      <c r="A363" s="19">
        <v>45641.0</v>
      </c>
      <c r="B363" s="16" t="s">
        <v>9</v>
      </c>
      <c r="C363" s="16" t="str">
        <f t="shared" si="1"/>
        <v>Monterrey</v>
      </c>
      <c r="D363" s="16" t="str">
        <f t="shared" si="2"/>
        <v>Monterrey</v>
      </c>
      <c r="E363" s="16" t="str">
        <f t="shared" si="3"/>
        <v>Monterrey</v>
      </c>
      <c r="F363" s="16" t="s">
        <v>117</v>
      </c>
      <c r="G363" s="17" t="str">
        <f>IFERROR(__xludf.DUMMYFUNCTION("SPLIT(F363:F1362,""-"") "),"Teléfono")</f>
        <v>Teléfono</v>
      </c>
      <c r="H363" s="16" t="str">
        <f>IFERROR(__xludf.DUMMYFUNCTION("""COMPUTED_VALUE"""),"Gama baja")</f>
        <v>Gama baja</v>
      </c>
      <c r="I363" s="16" t="str">
        <f>IFERROR(__xludf.DUMMYFUNCTION("""COMPUTED_VALUE"""),"16GB")</f>
        <v>16GB</v>
      </c>
      <c r="J363" s="18">
        <v>1710.52</v>
      </c>
      <c r="K363" s="16">
        <v>2.0</v>
      </c>
      <c r="L363" s="18">
        <v>3421.04</v>
      </c>
      <c r="M363" s="16" t="s">
        <v>1855</v>
      </c>
      <c r="N363" s="16" t="s">
        <v>1856</v>
      </c>
      <c r="O363" s="16" t="s">
        <v>1857</v>
      </c>
    </row>
    <row r="364" ht="15.75" customHeight="1">
      <c r="A364" s="19">
        <v>45622.0</v>
      </c>
      <c r="B364" s="16" t="s">
        <v>2359</v>
      </c>
      <c r="C364" s="16" t="str">
        <f t="shared" si="1"/>
        <v>Ciudad De M√©Xico</v>
      </c>
      <c r="D364" s="16" t="str">
        <f t="shared" si="2"/>
        <v>Ciudad De M√©Xico</v>
      </c>
      <c r="E364" s="16" t="str">
        <f t="shared" si="3"/>
        <v>Ciudad De MéXico</v>
      </c>
      <c r="F364" s="16" t="s">
        <v>389</v>
      </c>
      <c r="G364" s="17" t="str">
        <f>IFERROR(__xludf.DUMMYFUNCTION("SPLIT(F364:F1363,""-"") "),"Auriculares")</f>
        <v>Auriculares</v>
      </c>
      <c r="H364" s="16" t="str">
        <f>IFERROR(__xludf.DUMMYFUNCTION("""COMPUTED_VALUE"""),"Cancelación de ruido")</f>
        <v>Cancelación de ruido</v>
      </c>
      <c r="I364" s="16" t="str">
        <f>IFERROR(__xludf.DUMMYFUNCTION("""COMPUTED_VALUE"""),"4GB")</f>
        <v>4GB</v>
      </c>
      <c r="J364" s="18">
        <v>412.36</v>
      </c>
      <c r="K364" s="16">
        <v>4.0</v>
      </c>
      <c r="L364" s="18">
        <v>1649.44</v>
      </c>
      <c r="M364" s="16" t="s">
        <v>1514</v>
      </c>
      <c r="N364" s="16" t="s">
        <v>1515</v>
      </c>
      <c r="O364" s="16" t="s">
        <v>1516</v>
      </c>
    </row>
    <row r="365" ht="15.75" customHeight="1">
      <c r="A365" s="23">
        <v>45514.0</v>
      </c>
      <c r="B365" s="16" t="s">
        <v>75</v>
      </c>
      <c r="C365" s="16" t="str">
        <f t="shared" si="1"/>
        <v>Cali</v>
      </c>
      <c r="D365" s="16" t="str">
        <f t="shared" si="2"/>
        <v>Cali</v>
      </c>
      <c r="E365" s="16" t="str">
        <f t="shared" si="3"/>
        <v>Cali</v>
      </c>
      <c r="F365" s="16" t="s">
        <v>50</v>
      </c>
      <c r="G365" s="17" t="str">
        <f>IFERROR(__xludf.DUMMYFUNCTION("SPLIT(F365:F1364,""-"") "),"Tablet")</f>
        <v>Tablet</v>
      </c>
      <c r="H365" s="16" t="str">
        <f>IFERROR(__xludf.DUMMYFUNCTION("""COMPUTED_VALUE"""),"Estándar")</f>
        <v>Estándar</v>
      </c>
      <c r="I365" s="16" t="str">
        <f>IFERROR(__xludf.DUMMYFUNCTION("""COMPUTED_VALUE"""),"32GB")</f>
        <v>32GB</v>
      </c>
      <c r="J365" s="18">
        <v>718.45</v>
      </c>
      <c r="K365" s="16">
        <v>1.0</v>
      </c>
      <c r="L365" s="18">
        <v>718.45</v>
      </c>
      <c r="M365" s="16" t="s">
        <v>2593</v>
      </c>
      <c r="N365" s="16" t="s">
        <v>2594</v>
      </c>
      <c r="O365" s="16" t="s">
        <v>2595</v>
      </c>
    </row>
    <row r="366" ht="15.75" customHeight="1">
      <c r="A366" s="19">
        <v>45612.0</v>
      </c>
      <c r="B366" s="16" t="s">
        <v>14</v>
      </c>
      <c r="C366" s="16" t="str">
        <f t="shared" si="1"/>
        <v>Bogotá</v>
      </c>
      <c r="D366" s="16" t="str">
        <f t="shared" si="2"/>
        <v>Bogotá</v>
      </c>
      <c r="E366" s="16" t="str">
        <f t="shared" si="3"/>
        <v>Bogotá</v>
      </c>
      <c r="F366" s="16" t="s">
        <v>81</v>
      </c>
      <c r="G366" s="17" t="str">
        <f>IFERROR(__xludf.DUMMYFUNCTION("SPLIT(F366:F1365,""-"") "),"Laptop")</f>
        <v>Laptop</v>
      </c>
      <c r="H366" s="16" t="str">
        <f>IFERROR(__xludf.DUMMYFUNCTION("""COMPUTED_VALUE"""),"Oficina")</f>
        <v>Oficina</v>
      </c>
      <c r="I366" s="16" t="str">
        <f>IFERROR(__xludf.DUMMYFUNCTION("""COMPUTED_VALUE"""),"16GB")</f>
        <v>16GB</v>
      </c>
      <c r="J366" s="18">
        <v>1141.88</v>
      </c>
      <c r="K366" s="16">
        <v>5.0</v>
      </c>
      <c r="L366" s="18">
        <v>5709.4</v>
      </c>
      <c r="M366" s="16" t="s">
        <v>1158</v>
      </c>
      <c r="N366" s="16" t="s">
        <v>1159</v>
      </c>
      <c r="O366" s="16" t="s">
        <v>1160</v>
      </c>
    </row>
    <row r="367" ht="15.75" customHeight="1">
      <c r="A367" s="23">
        <v>45485.0</v>
      </c>
      <c r="B367" s="16" t="s">
        <v>14</v>
      </c>
      <c r="C367" s="16" t="str">
        <f t="shared" si="1"/>
        <v>Bogotá</v>
      </c>
      <c r="D367" s="16" t="str">
        <f t="shared" si="2"/>
        <v>Bogotá</v>
      </c>
      <c r="E367" s="16" t="str">
        <f t="shared" si="3"/>
        <v>Bogotá</v>
      </c>
      <c r="F367" s="16" t="s">
        <v>319</v>
      </c>
      <c r="G367" s="17" t="str">
        <f>IFERROR(__xludf.DUMMYFUNCTION("SPLIT(F367:F1366,""-"") "),"Tablet")</f>
        <v>Tablet</v>
      </c>
      <c r="H367" s="16" t="str">
        <f>IFERROR(__xludf.DUMMYFUNCTION("""COMPUTED_VALUE"""),"Pro")</f>
        <v>Pro</v>
      </c>
      <c r="I367" s="16" t="str">
        <f>IFERROR(__xludf.DUMMYFUNCTION("""COMPUTED_VALUE"""),"32GB")</f>
        <v>32GB</v>
      </c>
      <c r="J367" s="18">
        <v>345.81</v>
      </c>
      <c r="K367" s="16">
        <v>3.0</v>
      </c>
      <c r="L367" s="18">
        <v>1037.43</v>
      </c>
      <c r="M367" s="16" t="s">
        <v>2596</v>
      </c>
      <c r="N367" s="16" t="s">
        <v>2597</v>
      </c>
      <c r="O367" s="16" t="s">
        <v>2598</v>
      </c>
    </row>
    <row r="368" ht="15.75" customHeight="1">
      <c r="A368" s="23">
        <v>45515.0</v>
      </c>
      <c r="B368" s="16" t="s">
        <v>14</v>
      </c>
      <c r="C368" s="16" t="str">
        <f t="shared" si="1"/>
        <v>Bogotá</v>
      </c>
      <c r="D368" s="16" t="str">
        <f t="shared" si="2"/>
        <v>Bogotá</v>
      </c>
      <c r="E368" s="16" t="str">
        <f t="shared" si="3"/>
        <v>Bogotá</v>
      </c>
      <c r="F368" s="16" t="s">
        <v>399</v>
      </c>
      <c r="G368" s="17" t="str">
        <f>IFERROR(__xludf.DUMMYFUNCTION("SPLIT(F368:F1367,""-"") "),"Laptop")</f>
        <v>Laptop</v>
      </c>
      <c r="H368" s="16" t="str">
        <f>IFERROR(__xludf.DUMMYFUNCTION("""COMPUTED_VALUE"""),"Gaming")</f>
        <v>Gaming</v>
      </c>
      <c r="I368" s="16" t="str">
        <f>IFERROR(__xludf.DUMMYFUNCTION("""COMPUTED_VALUE"""),"4GB")</f>
        <v>4GB</v>
      </c>
      <c r="J368" s="18">
        <v>1602.14</v>
      </c>
      <c r="K368" s="16">
        <v>5.0</v>
      </c>
      <c r="L368" s="18">
        <v>8010.7</v>
      </c>
      <c r="M368" s="16" t="s">
        <v>2599</v>
      </c>
      <c r="N368" s="16" t="s">
        <v>2600</v>
      </c>
      <c r="O368" s="16" t="s">
        <v>2601</v>
      </c>
    </row>
    <row r="369" ht="15.75" customHeight="1">
      <c r="A369" s="23">
        <v>45637.0</v>
      </c>
      <c r="B369" s="16" t="s">
        <v>58</v>
      </c>
      <c r="C369" s="16" t="str">
        <f t="shared" si="1"/>
        <v>Guadalajara</v>
      </c>
      <c r="D369" s="16" t="str">
        <f t="shared" si="2"/>
        <v>Guadalajara</v>
      </c>
      <c r="E369" s="16" t="str">
        <f t="shared" si="3"/>
        <v>Guadalajara</v>
      </c>
      <c r="F369" s="16" t="s">
        <v>369</v>
      </c>
      <c r="G369" s="17" t="str">
        <f>IFERROR(__xludf.DUMMYFUNCTION("SPLIT(F369:F1368,""-"") "),"Auriculares")</f>
        <v>Auriculares</v>
      </c>
      <c r="H369" s="16" t="str">
        <f>IFERROR(__xludf.DUMMYFUNCTION("""COMPUTED_VALUE"""),"Con cable")</f>
        <v>Con cable</v>
      </c>
      <c r="I369" s="16" t="str">
        <f>IFERROR(__xludf.DUMMYFUNCTION("""COMPUTED_VALUE"""),"4GB")</f>
        <v>4GB</v>
      </c>
      <c r="J369" s="18">
        <v>1198.31</v>
      </c>
      <c r="K369" s="16">
        <v>3.0</v>
      </c>
      <c r="L369" s="18">
        <v>3594.93</v>
      </c>
      <c r="M369" s="16" t="s">
        <v>1772</v>
      </c>
      <c r="N369" s="16" t="s">
        <v>1773</v>
      </c>
      <c r="O369" s="16" t="s">
        <v>1774</v>
      </c>
    </row>
    <row r="370" ht="15.75" customHeight="1">
      <c r="A370" s="23">
        <v>45363.0</v>
      </c>
      <c r="B370" s="16" t="s">
        <v>9</v>
      </c>
      <c r="C370" s="16" t="str">
        <f t="shared" si="1"/>
        <v>Monterrey</v>
      </c>
      <c r="D370" s="16" t="str">
        <f t="shared" si="2"/>
        <v>Monterrey</v>
      </c>
      <c r="E370" s="16" t="str">
        <f t="shared" si="3"/>
        <v>Monterrey</v>
      </c>
      <c r="F370" s="16" t="s">
        <v>389</v>
      </c>
      <c r="G370" s="17" t="str">
        <f>IFERROR(__xludf.DUMMYFUNCTION("SPLIT(F370:F1369,""-"") "),"Auriculares")</f>
        <v>Auriculares</v>
      </c>
      <c r="H370" s="16" t="str">
        <f>IFERROR(__xludf.DUMMYFUNCTION("""COMPUTED_VALUE"""),"Cancelación de ruido")</f>
        <v>Cancelación de ruido</v>
      </c>
      <c r="I370" s="16" t="str">
        <f>IFERROR(__xludf.DUMMYFUNCTION("""COMPUTED_VALUE"""),"4GB")</f>
        <v>4GB</v>
      </c>
      <c r="J370" s="18">
        <v>633.09</v>
      </c>
      <c r="K370" s="16">
        <v>3.0</v>
      </c>
      <c r="L370" s="18">
        <v>1899.27</v>
      </c>
      <c r="M370" s="16" t="s">
        <v>2602</v>
      </c>
      <c r="N370" s="16" t="s">
        <v>2603</v>
      </c>
      <c r="O370" s="16" t="s">
        <v>2604</v>
      </c>
    </row>
    <row r="371" ht="15.75" customHeight="1">
      <c r="A371" s="19">
        <v>45589.0</v>
      </c>
      <c r="B371" s="16" t="s">
        <v>14</v>
      </c>
      <c r="C371" s="16" t="str">
        <f t="shared" si="1"/>
        <v>Bogotá</v>
      </c>
      <c r="D371" s="16" t="str">
        <f t="shared" si="2"/>
        <v>Bogotá</v>
      </c>
      <c r="E371" s="16" t="str">
        <f t="shared" si="3"/>
        <v>Bogotá</v>
      </c>
      <c r="F371" s="16" t="s">
        <v>132</v>
      </c>
      <c r="G371" s="17" t="str">
        <f>IFERROR(__xludf.DUMMYFUNCTION("SPLIT(F371:F1370,""-"") "),"Tablet")</f>
        <v>Tablet</v>
      </c>
      <c r="H371" s="16" t="str">
        <f>IFERROR(__xludf.DUMMYFUNCTION("""COMPUTED_VALUE"""),"Pro")</f>
        <v>Pro</v>
      </c>
      <c r="I371" s="16" t="str">
        <f>IFERROR(__xludf.DUMMYFUNCTION("""COMPUTED_VALUE"""),"8GB")</f>
        <v>8GB</v>
      </c>
      <c r="J371" s="18">
        <v>2100.84</v>
      </c>
      <c r="K371" s="16">
        <v>5.0</v>
      </c>
      <c r="L371" s="18">
        <v>10504.2</v>
      </c>
      <c r="M371" s="16" t="s">
        <v>596</v>
      </c>
      <c r="N371" s="16" t="s">
        <v>597</v>
      </c>
      <c r="O371" s="16" t="s">
        <v>598</v>
      </c>
    </row>
    <row r="372" ht="15.75" customHeight="1">
      <c r="A372" s="19">
        <v>45653.0</v>
      </c>
      <c r="B372" s="16" t="s">
        <v>75</v>
      </c>
      <c r="C372" s="16" t="str">
        <f t="shared" si="1"/>
        <v>Cali</v>
      </c>
      <c r="D372" s="16" t="str">
        <f t="shared" si="2"/>
        <v>Cali</v>
      </c>
      <c r="E372" s="16" t="str">
        <f t="shared" si="3"/>
        <v>Cali</v>
      </c>
      <c r="F372" s="16" t="s">
        <v>389</v>
      </c>
      <c r="G372" s="17" t="str">
        <f>IFERROR(__xludf.DUMMYFUNCTION("SPLIT(F372:F1371,""-"") "),"Auriculares")</f>
        <v>Auriculares</v>
      </c>
      <c r="H372" s="16" t="str">
        <f>IFERROR(__xludf.DUMMYFUNCTION("""COMPUTED_VALUE"""),"Cancelación de ruido")</f>
        <v>Cancelación de ruido</v>
      </c>
      <c r="I372" s="16" t="str">
        <f>IFERROR(__xludf.DUMMYFUNCTION("""COMPUTED_VALUE"""),"4GB")</f>
        <v>4GB</v>
      </c>
      <c r="J372" s="18">
        <v>2263.78</v>
      </c>
      <c r="K372" s="16">
        <v>5.0</v>
      </c>
      <c r="L372" s="18">
        <v>11318.9</v>
      </c>
      <c r="M372" s="16" t="s">
        <v>2219</v>
      </c>
      <c r="N372" s="16" t="s">
        <v>2220</v>
      </c>
      <c r="O372" s="16" t="s">
        <v>2221</v>
      </c>
    </row>
    <row r="373" ht="15.75" customHeight="1">
      <c r="A373" s="19">
        <v>45585.0</v>
      </c>
      <c r="B373" s="16" t="s">
        <v>89</v>
      </c>
      <c r="C373" s="16" t="str">
        <f t="shared" si="1"/>
        <v>Tulum</v>
      </c>
      <c r="D373" s="16" t="str">
        <f t="shared" si="2"/>
        <v>Tulum</v>
      </c>
      <c r="E373" s="16" t="str">
        <f t="shared" si="3"/>
        <v>Tulum</v>
      </c>
      <c r="F373" s="16" t="s">
        <v>344</v>
      </c>
      <c r="G373" s="17" t="str">
        <f>IFERROR(__xludf.DUMMYFUNCTION("SPLIT(F373:F1372,""-"") "),"Laptop")</f>
        <v>Laptop</v>
      </c>
      <c r="H373" s="16" t="str">
        <f>IFERROR(__xludf.DUMMYFUNCTION("""COMPUTED_VALUE"""),"Ultraliviana")</f>
        <v>Ultraliviana</v>
      </c>
      <c r="I373" s="16" t="str">
        <f>IFERROR(__xludf.DUMMYFUNCTION("""COMPUTED_VALUE"""),"8GB")</f>
        <v>8GB</v>
      </c>
      <c r="J373" s="18">
        <v>1840.11</v>
      </c>
      <c r="K373" s="16">
        <v>1.0</v>
      </c>
      <c r="L373" s="18">
        <v>1840.11</v>
      </c>
      <c r="M373" s="16" t="s">
        <v>470</v>
      </c>
      <c r="N373" s="16" t="s">
        <v>471</v>
      </c>
      <c r="O373" s="16" t="s">
        <v>472</v>
      </c>
    </row>
    <row r="374" ht="15.75" customHeight="1">
      <c r="A374" s="23">
        <v>45392.0</v>
      </c>
      <c r="B374" s="16" t="s">
        <v>2359</v>
      </c>
      <c r="C374" s="16" t="str">
        <f t="shared" si="1"/>
        <v>Ciudad De M√©Xico</v>
      </c>
      <c r="D374" s="16" t="str">
        <f t="shared" si="2"/>
        <v>Ciudad De M√©Xico</v>
      </c>
      <c r="E374" s="16" t="str">
        <f t="shared" si="3"/>
        <v>Ciudad De MéXico</v>
      </c>
      <c r="F374" s="16" t="s">
        <v>369</v>
      </c>
      <c r="G374" s="17" t="str">
        <f>IFERROR(__xludf.DUMMYFUNCTION("SPLIT(F374:F1373,""-"") "),"Auriculares")</f>
        <v>Auriculares</v>
      </c>
      <c r="H374" s="16" t="str">
        <f>IFERROR(__xludf.DUMMYFUNCTION("""COMPUTED_VALUE"""),"Con cable")</f>
        <v>Con cable</v>
      </c>
      <c r="I374" s="16" t="str">
        <f>IFERROR(__xludf.DUMMYFUNCTION("""COMPUTED_VALUE"""),"4GB")</f>
        <v>4GB</v>
      </c>
      <c r="J374" s="18">
        <v>2008.39</v>
      </c>
      <c r="K374" s="16">
        <v>4.0</v>
      </c>
      <c r="L374" s="18">
        <v>8033.56</v>
      </c>
      <c r="M374" s="16" t="s">
        <v>2605</v>
      </c>
      <c r="N374" s="16" t="s">
        <v>2606</v>
      </c>
      <c r="O374" s="16" t="s">
        <v>2607</v>
      </c>
    </row>
    <row r="375" ht="15.75" customHeight="1">
      <c r="A375" s="19">
        <v>45609.0</v>
      </c>
      <c r="B375" s="16" t="s">
        <v>9</v>
      </c>
      <c r="C375" s="16" t="str">
        <f t="shared" si="1"/>
        <v>Monterrey</v>
      </c>
      <c r="D375" s="16" t="str">
        <f t="shared" si="2"/>
        <v>Monterrey</v>
      </c>
      <c r="E375" s="16" t="str">
        <f t="shared" si="3"/>
        <v>Monterrey</v>
      </c>
      <c r="F375" s="16" t="s">
        <v>15</v>
      </c>
      <c r="G375" s="17" t="str">
        <f>IFERROR(__xludf.DUMMYFUNCTION("SPLIT(F375:F1374,""-"") "),"Auriculares")</f>
        <v>Auriculares</v>
      </c>
      <c r="H375" s="16" t="str">
        <f>IFERROR(__xludf.DUMMYFUNCTION("""COMPUTED_VALUE"""),"Con cable")</f>
        <v>Con cable</v>
      </c>
      <c r="I375" s="16" t="str">
        <f>IFERROR(__xludf.DUMMYFUNCTION("""COMPUTED_VALUE"""),"32GB")</f>
        <v>32GB</v>
      </c>
      <c r="J375" s="18">
        <v>724.54</v>
      </c>
      <c r="K375" s="16">
        <v>5.0</v>
      </c>
      <c r="L375" s="18">
        <v>3622.7</v>
      </c>
      <c r="M375" s="16" t="s">
        <v>1045</v>
      </c>
      <c r="N375" s="16" t="s">
        <v>1046</v>
      </c>
      <c r="O375" s="16" t="s">
        <v>1047</v>
      </c>
    </row>
    <row r="376" ht="15.75" customHeight="1">
      <c r="A376" s="23">
        <v>45334.0</v>
      </c>
      <c r="B376" s="16" t="s">
        <v>2359</v>
      </c>
      <c r="C376" s="16" t="str">
        <f t="shared" si="1"/>
        <v>Ciudad De M√©Xico</v>
      </c>
      <c r="D376" s="16" t="str">
        <f t="shared" si="2"/>
        <v>Ciudad De M√©Xico</v>
      </c>
      <c r="E376" s="16" t="str">
        <f t="shared" si="3"/>
        <v>Ciudad De MéXico</v>
      </c>
      <c r="F376" s="16" t="s">
        <v>315</v>
      </c>
      <c r="G376" s="17" t="str">
        <f>IFERROR(__xludf.DUMMYFUNCTION("SPLIT(F376:F1375,""-"") "),"Teléfono")</f>
        <v>Teléfono</v>
      </c>
      <c r="H376" s="16" t="str">
        <f>IFERROR(__xludf.DUMMYFUNCTION("""COMPUTED_VALUE"""),"Gama baja")</f>
        <v>Gama baja</v>
      </c>
      <c r="I376" s="16" t="str">
        <f>IFERROR(__xludf.DUMMYFUNCTION("""COMPUTED_VALUE"""),"8GB")</f>
        <v>8GB</v>
      </c>
      <c r="J376" s="18">
        <v>1923.49</v>
      </c>
      <c r="K376" s="16">
        <v>5.0</v>
      </c>
      <c r="L376" s="18">
        <v>9617.45</v>
      </c>
      <c r="M376" s="16" t="s">
        <v>2608</v>
      </c>
      <c r="N376" s="16" t="s">
        <v>2609</v>
      </c>
      <c r="O376" s="16" t="s">
        <v>2610</v>
      </c>
    </row>
    <row r="377" ht="15.75" customHeight="1">
      <c r="A377" s="19">
        <v>45615.0</v>
      </c>
      <c r="B377" s="16" t="s">
        <v>2359</v>
      </c>
      <c r="C377" s="16" t="str">
        <f t="shared" si="1"/>
        <v>Ciudad De M√©Xico</v>
      </c>
      <c r="D377" s="16" t="str">
        <f t="shared" si="2"/>
        <v>Ciudad De M√©Xico</v>
      </c>
      <c r="E377" s="16" t="str">
        <f t="shared" si="3"/>
        <v>Ciudad De MéXico</v>
      </c>
      <c r="F377" s="16" t="s">
        <v>218</v>
      </c>
      <c r="G377" s="17" t="str">
        <f>IFERROR(__xludf.DUMMYFUNCTION("SPLIT(F377:F1376,""-"") "),"Teléfono")</f>
        <v>Teléfono</v>
      </c>
      <c r="H377" s="16" t="str">
        <f>IFERROR(__xludf.DUMMYFUNCTION("""COMPUTED_VALUE"""),"Gama media")</f>
        <v>Gama media</v>
      </c>
      <c r="I377" s="16" t="str">
        <f>IFERROR(__xludf.DUMMYFUNCTION("""COMPUTED_VALUE"""),"4GB")</f>
        <v>4GB</v>
      </c>
      <c r="J377" s="18">
        <v>653.09</v>
      </c>
      <c r="K377" s="16">
        <v>4.0</v>
      </c>
      <c r="L377" s="18">
        <v>2612.36</v>
      </c>
      <c r="M377" s="16" t="s">
        <v>1269</v>
      </c>
      <c r="N377" s="16" t="s">
        <v>1270</v>
      </c>
      <c r="O377" s="16" t="s">
        <v>1271</v>
      </c>
    </row>
    <row r="378" ht="15.75" customHeight="1">
      <c r="A378" s="23">
        <v>45453.0</v>
      </c>
      <c r="B378" s="16" t="s">
        <v>2359</v>
      </c>
      <c r="C378" s="16" t="str">
        <f t="shared" si="1"/>
        <v>Ciudad De M√©Xico</v>
      </c>
      <c r="D378" s="16" t="str">
        <f t="shared" si="2"/>
        <v>Ciudad De M√©Xico</v>
      </c>
      <c r="E378" s="16" t="str">
        <f t="shared" si="3"/>
        <v>Ciudad De MéXico</v>
      </c>
      <c r="F378" s="16" t="s">
        <v>233</v>
      </c>
      <c r="G378" s="17" t="str">
        <f>IFERROR(__xludf.DUMMYFUNCTION("SPLIT(F378:F1377,""-"") "),"Tablet")</f>
        <v>Tablet</v>
      </c>
      <c r="H378" s="16" t="str">
        <f>IFERROR(__xludf.DUMMYFUNCTION("""COMPUTED_VALUE"""),"Mini")</f>
        <v>Mini</v>
      </c>
      <c r="I378" s="16" t="str">
        <f>IFERROR(__xludf.DUMMYFUNCTION("""COMPUTED_VALUE"""),"16GB")</f>
        <v>16GB</v>
      </c>
      <c r="J378" s="18">
        <v>627.66</v>
      </c>
      <c r="K378" s="16">
        <v>1.0</v>
      </c>
      <c r="L378" s="18">
        <v>627.66</v>
      </c>
      <c r="M378" s="16" t="s">
        <v>2611</v>
      </c>
      <c r="N378" s="16" t="s">
        <v>2612</v>
      </c>
      <c r="O378" s="16" t="s">
        <v>2613</v>
      </c>
    </row>
    <row r="379" ht="15.75" customHeight="1">
      <c r="A379" s="23">
        <v>45453.0</v>
      </c>
      <c r="B379" s="16" t="s">
        <v>2359</v>
      </c>
      <c r="C379" s="16" t="str">
        <f t="shared" si="1"/>
        <v>Ciudad De M√©Xico</v>
      </c>
      <c r="D379" s="16" t="str">
        <f t="shared" si="2"/>
        <v>Ciudad De M√©Xico</v>
      </c>
      <c r="E379" s="16" t="str">
        <f t="shared" si="3"/>
        <v>Ciudad De MéXico</v>
      </c>
      <c r="F379" s="16" t="s">
        <v>15</v>
      </c>
      <c r="G379" s="17" t="str">
        <f>IFERROR(__xludf.DUMMYFUNCTION("SPLIT(F379:F1378,""-"") "),"Auriculares")</f>
        <v>Auriculares</v>
      </c>
      <c r="H379" s="16" t="str">
        <f>IFERROR(__xludf.DUMMYFUNCTION("""COMPUTED_VALUE"""),"Con cable")</f>
        <v>Con cable</v>
      </c>
      <c r="I379" s="16" t="str">
        <f>IFERROR(__xludf.DUMMYFUNCTION("""COMPUTED_VALUE"""),"32GB")</f>
        <v>32GB</v>
      </c>
      <c r="J379" s="18">
        <v>1194.62</v>
      </c>
      <c r="K379" s="16">
        <v>5.0</v>
      </c>
      <c r="L379" s="18">
        <v>5973.1</v>
      </c>
      <c r="M379" s="16" t="s">
        <v>2614</v>
      </c>
      <c r="N379" s="16" t="s">
        <v>2615</v>
      </c>
      <c r="O379" s="16" t="s">
        <v>2616</v>
      </c>
    </row>
    <row r="380" ht="15.75" customHeight="1">
      <c r="A380" s="19">
        <v>45583.0</v>
      </c>
      <c r="B380" s="16" t="s">
        <v>14</v>
      </c>
      <c r="C380" s="16" t="str">
        <f t="shared" si="1"/>
        <v>Bogotá</v>
      </c>
      <c r="D380" s="16" t="str">
        <f t="shared" si="2"/>
        <v>Bogotá</v>
      </c>
      <c r="E380" s="16" t="str">
        <f t="shared" si="3"/>
        <v>Bogotá</v>
      </c>
      <c r="F380" s="16" t="s">
        <v>292</v>
      </c>
      <c r="G380" s="17" t="str">
        <f>IFERROR(__xludf.DUMMYFUNCTION("SPLIT(F380:F1379,""-"") "),"Teléfono")</f>
        <v>Teléfono</v>
      </c>
      <c r="H380" s="16" t="str">
        <f>IFERROR(__xludf.DUMMYFUNCTION("""COMPUTED_VALUE"""),"Gama alta")</f>
        <v>Gama alta</v>
      </c>
      <c r="I380" s="16" t="str">
        <f>IFERROR(__xludf.DUMMYFUNCTION("""COMPUTED_VALUE"""),"16GB")</f>
        <v>16GB</v>
      </c>
      <c r="J380" s="18">
        <v>169.21</v>
      </c>
      <c r="K380" s="16">
        <v>3.0</v>
      </c>
      <c r="L380" s="18">
        <v>507.63</v>
      </c>
      <c r="M380" s="16" t="s">
        <v>396</v>
      </c>
      <c r="N380" s="16" t="s">
        <v>397</v>
      </c>
      <c r="O380" s="16" t="s">
        <v>398</v>
      </c>
    </row>
    <row r="381" ht="15.75" customHeight="1">
      <c r="A381" s="19">
        <v>45585.0</v>
      </c>
      <c r="B381" s="16" t="s">
        <v>2515</v>
      </c>
      <c r="C381" s="16" t="str">
        <f t="shared" si="1"/>
        <v>Ciudad De M√Âxico</v>
      </c>
      <c r="D381" s="16" t="str">
        <f t="shared" si="2"/>
        <v>Ciudad De M√Âxico</v>
      </c>
      <c r="E381" s="16" t="str">
        <f t="shared" si="3"/>
        <v>Ciudad De M√Âxico</v>
      </c>
      <c r="F381" s="16" t="s">
        <v>311</v>
      </c>
      <c r="G381" s="17" t="str">
        <f>IFERROR(__xludf.DUMMYFUNCTION("SPLIT(F381:F1380,""-"") "),"Laptop")</f>
        <v>Laptop</v>
      </c>
      <c r="H381" s="16" t="str">
        <f>IFERROR(__xludf.DUMMYFUNCTION("""COMPUTED_VALUE"""),"Ultraliviana")</f>
        <v>Ultraliviana</v>
      </c>
      <c r="I381" s="16" t="str">
        <f>IFERROR(__xludf.DUMMYFUNCTION("""COMPUTED_VALUE"""),"32GB")</f>
        <v>32GB</v>
      </c>
      <c r="J381" s="18">
        <v>2081.9</v>
      </c>
      <c r="K381" s="16">
        <v>1.0</v>
      </c>
      <c r="L381" s="18">
        <v>2081.9</v>
      </c>
      <c r="M381" s="16" t="s">
        <v>474</v>
      </c>
      <c r="N381" s="16" t="s">
        <v>475</v>
      </c>
      <c r="O381" s="16" t="s">
        <v>476</v>
      </c>
    </row>
    <row r="382" ht="15.75" customHeight="1">
      <c r="A382" s="19">
        <v>45588.0</v>
      </c>
      <c r="B382" s="16" t="s">
        <v>2359</v>
      </c>
      <c r="C382" s="16" t="str">
        <f t="shared" si="1"/>
        <v>Ciudad De M√©Xico</v>
      </c>
      <c r="D382" s="16" t="str">
        <f t="shared" si="2"/>
        <v>Ciudad De M√©Xico</v>
      </c>
      <c r="E382" s="16" t="str">
        <f t="shared" si="3"/>
        <v>Ciudad De MéXico</v>
      </c>
      <c r="F382" s="16" t="s">
        <v>81</v>
      </c>
      <c r="G382" s="17" t="str">
        <f>IFERROR(__xludf.DUMMYFUNCTION("SPLIT(F382:F1381,""-"") "),"Laptop")</f>
        <v>Laptop</v>
      </c>
      <c r="H382" s="16" t="str">
        <f>IFERROR(__xludf.DUMMYFUNCTION("""COMPUTED_VALUE"""),"Oficina")</f>
        <v>Oficina</v>
      </c>
      <c r="I382" s="16" t="str">
        <f>IFERROR(__xludf.DUMMYFUNCTION("""COMPUTED_VALUE"""),"16GB")</f>
        <v>16GB</v>
      </c>
      <c r="J382" s="18">
        <v>324.46</v>
      </c>
      <c r="K382" s="16">
        <v>2.0</v>
      </c>
      <c r="L382" s="18">
        <v>648.92</v>
      </c>
      <c r="M382" s="16" t="s">
        <v>553</v>
      </c>
      <c r="N382" s="16" t="s">
        <v>554</v>
      </c>
      <c r="O382" s="16" t="s">
        <v>555</v>
      </c>
    </row>
    <row r="383" ht="15.75" customHeight="1">
      <c r="A383" s="19">
        <v>45614.0</v>
      </c>
      <c r="B383" s="16" t="s">
        <v>14</v>
      </c>
      <c r="C383" s="16" t="str">
        <f t="shared" si="1"/>
        <v>Bogotá</v>
      </c>
      <c r="D383" s="16" t="str">
        <f t="shared" si="2"/>
        <v>Bogotá</v>
      </c>
      <c r="E383" s="16" t="str">
        <f t="shared" si="3"/>
        <v>Bogotá</v>
      </c>
      <c r="F383" s="16" t="s">
        <v>10</v>
      </c>
      <c r="G383" s="17" t="str">
        <f>IFERROR(__xludf.DUMMYFUNCTION("SPLIT(F383:F1382,""-"") "),"Tablet")</f>
        <v>Tablet</v>
      </c>
      <c r="H383" s="16" t="str">
        <f>IFERROR(__xludf.DUMMYFUNCTION("""COMPUTED_VALUE"""),"Estándar")</f>
        <v>Estándar</v>
      </c>
      <c r="I383" s="16" t="str">
        <f>IFERROR(__xludf.DUMMYFUNCTION("""COMPUTED_VALUE"""),"8GB")</f>
        <v>8GB</v>
      </c>
      <c r="J383" s="18">
        <v>1178.53</v>
      </c>
      <c r="K383" s="16">
        <v>2.0</v>
      </c>
      <c r="L383" s="18">
        <v>2357.06</v>
      </c>
      <c r="M383" s="16" t="s">
        <v>1245</v>
      </c>
      <c r="N383" s="16" t="s">
        <v>1246</v>
      </c>
      <c r="O383" s="16" t="s">
        <v>1247</v>
      </c>
    </row>
    <row r="384" ht="15.75" customHeight="1">
      <c r="A384" s="23">
        <v>45363.0</v>
      </c>
      <c r="B384" s="16" t="s">
        <v>58</v>
      </c>
      <c r="C384" s="16" t="str">
        <f t="shared" si="1"/>
        <v>Guadalajara</v>
      </c>
      <c r="D384" s="16" t="str">
        <f t="shared" si="2"/>
        <v>Guadalajara</v>
      </c>
      <c r="E384" s="16" t="str">
        <f t="shared" si="3"/>
        <v>Guadalajara</v>
      </c>
      <c r="F384" s="16" t="s">
        <v>71</v>
      </c>
      <c r="G384" s="17" t="str">
        <f>IFERROR(__xludf.DUMMYFUNCTION("SPLIT(F384:F1383,""-"") "),"Auriculares")</f>
        <v>Auriculares</v>
      </c>
      <c r="H384" s="16" t="str">
        <f>IFERROR(__xludf.DUMMYFUNCTION("""COMPUTED_VALUE"""),"Bluetooth")</f>
        <v>Bluetooth</v>
      </c>
      <c r="I384" s="16" t="str">
        <f>IFERROR(__xludf.DUMMYFUNCTION("""COMPUTED_VALUE"""),"16GB")</f>
        <v>16GB</v>
      </c>
      <c r="J384" s="18">
        <v>2196.48</v>
      </c>
      <c r="K384" s="16">
        <v>5.0</v>
      </c>
      <c r="L384" s="18">
        <v>10982.4</v>
      </c>
      <c r="M384" s="16" t="s">
        <v>2617</v>
      </c>
      <c r="N384" s="16" t="s">
        <v>2618</v>
      </c>
      <c r="O384" s="16" t="s">
        <v>2619</v>
      </c>
    </row>
    <row r="385" ht="15.75" customHeight="1">
      <c r="A385" s="23">
        <v>45514.0</v>
      </c>
      <c r="B385" s="16" t="s">
        <v>2359</v>
      </c>
      <c r="C385" s="16" t="str">
        <f t="shared" si="1"/>
        <v>Ciudad De M√©Xico</v>
      </c>
      <c r="D385" s="16" t="str">
        <f t="shared" si="2"/>
        <v>Ciudad De M√©Xico</v>
      </c>
      <c r="E385" s="16" t="str">
        <f t="shared" si="3"/>
        <v>Ciudad De MéXico</v>
      </c>
      <c r="F385" s="16" t="s">
        <v>81</v>
      </c>
      <c r="G385" s="17" t="str">
        <f>IFERROR(__xludf.DUMMYFUNCTION("SPLIT(F385:F1384,""-"") "),"Laptop")</f>
        <v>Laptop</v>
      </c>
      <c r="H385" s="16" t="str">
        <f>IFERROR(__xludf.DUMMYFUNCTION("""COMPUTED_VALUE"""),"Oficina")</f>
        <v>Oficina</v>
      </c>
      <c r="I385" s="16" t="str">
        <f>IFERROR(__xludf.DUMMYFUNCTION("""COMPUTED_VALUE"""),"16GB")</f>
        <v>16GB</v>
      </c>
      <c r="J385" s="18">
        <v>1527.82</v>
      </c>
      <c r="K385" s="16">
        <v>3.0</v>
      </c>
      <c r="L385" s="18">
        <v>4583.46</v>
      </c>
      <c r="M385" s="16" t="s">
        <v>2620</v>
      </c>
      <c r="N385" s="16" t="s">
        <v>2621</v>
      </c>
      <c r="O385" s="16" t="s">
        <v>2622</v>
      </c>
    </row>
    <row r="386" ht="15.75" customHeight="1">
      <c r="A386" s="23">
        <v>45515.0</v>
      </c>
      <c r="B386" s="16" t="s">
        <v>35</v>
      </c>
      <c r="C386" s="16" t="str">
        <f t="shared" si="1"/>
        <v>Medellín</v>
      </c>
      <c r="D386" s="16" t="str">
        <f t="shared" si="2"/>
        <v>Medellín</v>
      </c>
      <c r="E386" s="16" t="str">
        <f t="shared" si="3"/>
        <v>Medellín</v>
      </c>
      <c r="F386" s="16" t="s">
        <v>233</v>
      </c>
      <c r="G386" s="17" t="str">
        <f>IFERROR(__xludf.DUMMYFUNCTION("SPLIT(F386:F1385,""-"") "),"Tablet")</f>
        <v>Tablet</v>
      </c>
      <c r="H386" s="16" t="str">
        <f>IFERROR(__xludf.DUMMYFUNCTION("""COMPUTED_VALUE"""),"Mini")</f>
        <v>Mini</v>
      </c>
      <c r="I386" s="16" t="str">
        <f>IFERROR(__xludf.DUMMYFUNCTION("""COMPUTED_VALUE"""),"16GB")</f>
        <v>16GB</v>
      </c>
      <c r="J386" s="18">
        <v>1213.49</v>
      </c>
      <c r="K386" s="16">
        <v>1.0</v>
      </c>
      <c r="L386" s="18">
        <v>1213.49</v>
      </c>
      <c r="M386" s="16" t="s">
        <v>2623</v>
      </c>
      <c r="N386" s="16" t="s">
        <v>2624</v>
      </c>
      <c r="O386" s="16" t="s">
        <v>2625</v>
      </c>
    </row>
    <row r="387" ht="15.75" customHeight="1">
      <c r="A387" s="19">
        <v>45594.0</v>
      </c>
      <c r="B387" s="16" t="s">
        <v>14</v>
      </c>
      <c r="C387" s="16" t="str">
        <f t="shared" si="1"/>
        <v>Bogotá</v>
      </c>
      <c r="D387" s="16" t="str">
        <f t="shared" si="2"/>
        <v>Bogotá</v>
      </c>
      <c r="E387" s="16" t="str">
        <f t="shared" si="3"/>
        <v>Bogotá</v>
      </c>
      <c r="F387" s="16" t="s">
        <v>31</v>
      </c>
      <c r="G387" s="17" t="str">
        <f>IFERROR(__xludf.DUMMYFUNCTION("SPLIT(F387:F1386,""-"") "),"Teléfono")</f>
        <v>Teléfono</v>
      </c>
      <c r="H387" s="16" t="str">
        <f>IFERROR(__xludf.DUMMYFUNCTION("""COMPUTED_VALUE"""),"Gama alta")</f>
        <v>Gama alta</v>
      </c>
      <c r="I387" s="16" t="str">
        <f>IFERROR(__xludf.DUMMYFUNCTION("""COMPUTED_VALUE"""),"32GB")</f>
        <v>32GB</v>
      </c>
      <c r="J387" s="18">
        <v>288.29</v>
      </c>
      <c r="K387" s="16">
        <v>3.0</v>
      </c>
      <c r="L387" s="18">
        <v>864.87</v>
      </c>
      <c r="M387" s="16" t="s">
        <v>736</v>
      </c>
      <c r="N387" s="16" t="s">
        <v>737</v>
      </c>
      <c r="O387" s="16" t="s">
        <v>738</v>
      </c>
    </row>
    <row r="388" ht="15.75" customHeight="1">
      <c r="A388" s="19">
        <v>45655.0</v>
      </c>
      <c r="B388" s="16" t="s">
        <v>58</v>
      </c>
      <c r="C388" s="16" t="str">
        <f t="shared" si="1"/>
        <v>Guadalajara</v>
      </c>
      <c r="D388" s="16" t="str">
        <f t="shared" si="2"/>
        <v>Guadalajara</v>
      </c>
      <c r="E388" s="16" t="str">
        <f t="shared" si="3"/>
        <v>Guadalajara</v>
      </c>
      <c r="F388" s="16" t="s">
        <v>63</v>
      </c>
      <c r="G388" s="17" t="str">
        <f>IFERROR(__xludf.DUMMYFUNCTION("SPLIT(F388:F1387,""-"") "),"Laptop")</f>
        <v>Laptop</v>
      </c>
      <c r="H388" s="16" t="str">
        <f>IFERROR(__xludf.DUMMYFUNCTION("""COMPUTED_VALUE"""),"Ultraliviana")</f>
        <v>Ultraliviana</v>
      </c>
      <c r="I388" s="16" t="str">
        <f>IFERROR(__xludf.DUMMYFUNCTION("""COMPUTED_VALUE"""),"4GB")</f>
        <v>4GB</v>
      </c>
      <c r="J388" s="18">
        <v>1006.61</v>
      </c>
      <c r="K388" s="16">
        <v>4.0</v>
      </c>
      <c r="L388" s="18">
        <v>4026.44</v>
      </c>
      <c r="M388" s="16" t="s">
        <v>2288</v>
      </c>
      <c r="N388" s="16" t="s">
        <v>2289</v>
      </c>
      <c r="O388" s="16" t="s">
        <v>2290</v>
      </c>
    </row>
    <row r="389" ht="15.75" customHeight="1">
      <c r="A389" s="23">
        <v>45363.0</v>
      </c>
      <c r="B389" s="16" t="s">
        <v>9</v>
      </c>
      <c r="C389" s="16" t="str">
        <f t="shared" si="1"/>
        <v>Monterrey</v>
      </c>
      <c r="D389" s="16" t="str">
        <f t="shared" si="2"/>
        <v>Monterrey</v>
      </c>
      <c r="E389" s="16" t="str">
        <f t="shared" si="3"/>
        <v>Monterrey</v>
      </c>
      <c r="F389" s="16" t="s">
        <v>233</v>
      </c>
      <c r="G389" s="17" t="str">
        <f>IFERROR(__xludf.DUMMYFUNCTION("SPLIT(F389:F1388,""-"") "),"Tablet")</f>
        <v>Tablet</v>
      </c>
      <c r="H389" s="16" t="str">
        <f>IFERROR(__xludf.DUMMYFUNCTION("""COMPUTED_VALUE"""),"Mini")</f>
        <v>Mini</v>
      </c>
      <c r="I389" s="16" t="str">
        <f>IFERROR(__xludf.DUMMYFUNCTION("""COMPUTED_VALUE"""),"16GB")</f>
        <v>16GB</v>
      </c>
      <c r="J389" s="18">
        <v>1388.37</v>
      </c>
      <c r="K389" s="16">
        <v>3.0</v>
      </c>
      <c r="L389" s="18">
        <v>4165.11</v>
      </c>
      <c r="M389" s="16" t="s">
        <v>2626</v>
      </c>
      <c r="N389" s="16" t="s">
        <v>2627</v>
      </c>
      <c r="O389" s="16" t="s">
        <v>2628</v>
      </c>
    </row>
    <row r="390" ht="15.75" customHeight="1">
      <c r="A390" s="23">
        <v>45606.0</v>
      </c>
      <c r="B390" s="16" t="s">
        <v>75</v>
      </c>
      <c r="C390" s="16" t="str">
        <f t="shared" si="1"/>
        <v>Cali</v>
      </c>
      <c r="D390" s="16" t="str">
        <f t="shared" si="2"/>
        <v>Cali</v>
      </c>
      <c r="E390" s="16" t="str">
        <f t="shared" si="3"/>
        <v>Cali</v>
      </c>
      <c r="F390" s="16" t="s">
        <v>117</v>
      </c>
      <c r="G390" s="17" t="str">
        <f>IFERROR(__xludf.DUMMYFUNCTION("SPLIT(F390:F1389,""-"") "),"Teléfono")</f>
        <v>Teléfono</v>
      </c>
      <c r="H390" s="16" t="str">
        <f>IFERROR(__xludf.DUMMYFUNCTION("""COMPUTED_VALUE"""),"Gama baja")</f>
        <v>Gama baja</v>
      </c>
      <c r="I390" s="16" t="str">
        <f>IFERROR(__xludf.DUMMYFUNCTION("""COMPUTED_VALUE"""),"16GB")</f>
        <v>16GB</v>
      </c>
      <c r="J390" s="18">
        <v>2114.99</v>
      </c>
      <c r="K390" s="16">
        <v>1.0</v>
      </c>
      <c r="L390" s="18">
        <v>2114.99</v>
      </c>
      <c r="M390" s="16" t="s">
        <v>945</v>
      </c>
      <c r="N390" s="16" t="s">
        <v>946</v>
      </c>
      <c r="O390" s="16" t="s">
        <v>947</v>
      </c>
    </row>
    <row r="391" ht="15.75" customHeight="1">
      <c r="A391" s="19">
        <v>45643.0</v>
      </c>
      <c r="B391" s="16" t="s">
        <v>75</v>
      </c>
      <c r="C391" s="16" t="str">
        <f t="shared" si="1"/>
        <v>Cali</v>
      </c>
      <c r="D391" s="16" t="str">
        <f t="shared" si="2"/>
        <v>Cali</v>
      </c>
      <c r="E391" s="16" t="str">
        <f t="shared" si="3"/>
        <v>Cali</v>
      </c>
      <c r="F391" s="16" t="s">
        <v>389</v>
      </c>
      <c r="G391" s="17" t="str">
        <f>IFERROR(__xludf.DUMMYFUNCTION("SPLIT(F391:F1390,""-"") "),"Auriculares")</f>
        <v>Auriculares</v>
      </c>
      <c r="H391" s="16" t="str">
        <f>IFERROR(__xludf.DUMMYFUNCTION("""COMPUTED_VALUE"""),"Cancelación de ruido")</f>
        <v>Cancelación de ruido</v>
      </c>
      <c r="I391" s="16" t="str">
        <f>IFERROR(__xludf.DUMMYFUNCTION("""COMPUTED_VALUE"""),"4GB")</f>
        <v>4GB</v>
      </c>
      <c r="J391" s="18">
        <v>1627.59</v>
      </c>
      <c r="K391" s="16">
        <v>1.0</v>
      </c>
      <c r="L391" s="18">
        <v>1627.59</v>
      </c>
      <c r="M391" s="16" t="s">
        <v>1921</v>
      </c>
      <c r="N391" s="16" t="s">
        <v>1922</v>
      </c>
      <c r="O391" s="16" t="s">
        <v>1923</v>
      </c>
    </row>
    <row r="392" ht="15.75" customHeight="1">
      <c r="A392" s="23">
        <v>45332.0</v>
      </c>
      <c r="B392" s="16" t="s">
        <v>14</v>
      </c>
      <c r="C392" s="16" t="str">
        <f t="shared" si="1"/>
        <v>Bogotá</v>
      </c>
      <c r="D392" s="16" t="str">
        <f t="shared" si="2"/>
        <v>Bogotá</v>
      </c>
      <c r="E392" s="16" t="str">
        <f t="shared" si="3"/>
        <v>Bogotá</v>
      </c>
      <c r="F392" s="16" t="s">
        <v>319</v>
      </c>
      <c r="G392" s="17" t="str">
        <f>IFERROR(__xludf.DUMMYFUNCTION("SPLIT(F392:F1391,""-"") "),"Tablet")</f>
        <v>Tablet</v>
      </c>
      <c r="H392" s="16" t="str">
        <f>IFERROR(__xludf.DUMMYFUNCTION("""COMPUTED_VALUE"""),"Pro")</f>
        <v>Pro</v>
      </c>
      <c r="I392" s="16" t="str">
        <f>IFERROR(__xludf.DUMMYFUNCTION("""COMPUTED_VALUE"""),"32GB")</f>
        <v>32GB</v>
      </c>
      <c r="J392" s="18">
        <v>1385.54</v>
      </c>
      <c r="K392" s="16">
        <v>2.0</v>
      </c>
      <c r="L392" s="18">
        <v>2771.08</v>
      </c>
      <c r="M392" s="16" t="s">
        <v>2629</v>
      </c>
      <c r="N392" s="16" t="s">
        <v>2630</v>
      </c>
      <c r="O392" s="16" t="s">
        <v>2631</v>
      </c>
    </row>
    <row r="393" ht="15.75" customHeight="1">
      <c r="A393" s="19">
        <v>45594.0</v>
      </c>
      <c r="B393" s="16" t="s">
        <v>75</v>
      </c>
      <c r="C393" s="16" t="str">
        <f t="shared" si="1"/>
        <v>Cali</v>
      </c>
      <c r="D393" s="16" t="str">
        <f t="shared" si="2"/>
        <v>Cali</v>
      </c>
      <c r="E393" s="16" t="str">
        <f t="shared" si="3"/>
        <v>Cali</v>
      </c>
      <c r="F393" s="16" t="s">
        <v>182</v>
      </c>
      <c r="G393" s="17" t="str">
        <f>IFERROR(__xludf.DUMMYFUNCTION("SPLIT(F393:F1392,""-"") "),"Tablet")</f>
        <v>Tablet</v>
      </c>
      <c r="H393" s="16" t="str">
        <f>IFERROR(__xludf.DUMMYFUNCTION("""COMPUTED_VALUE"""),"Mini")</f>
        <v>Mini</v>
      </c>
      <c r="I393" s="16" t="str">
        <f>IFERROR(__xludf.DUMMYFUNCTION("""COMPUTED_VALUE"""),"4GB")</f>
        <v>4GB</v>
      </c>
      <c r="J393" s="18">
        <v>1164.32</v>
      </c>
      <c r="K393" s="16">
        <v>3.0</v>
      </c>
      <c r="L393" s="18">
        <v>3492.96</v>
      </c>
      <c r="M393" s="16" t="s">
        <v>739</v>
      </c>
      <c r="N393" s="16" t="s">
        <v>740</v>
      </c>
      <c r="O393" s="16" t="s">
        <v>741</v>
      </c>
    </row>
    <row r="394" ht="15.75" customHeight="1">
      <c r="A394" s="23">
        <v>45606.0</v>
      </c>
      <c r="B394" s="16" t="s">
        <v>2359</v>
      </c>
      <c r="C394" s="16" t="str">
        <f t="shared" si="1"/>
        <v>Ciudad De M√©Xico</v>
      </c>
      <c r="D394" s="16" t="str">
        <f t="shared" si="2"/>
        <v>Ciudad De M√©Xico</v>
      </c>
      <c r="E394" s="16" t="str">
        <f t="shared" si="3"/>
        <v>Ciudad De MéXico</v>
      </c>
      <c r="F394" s="16" t="s">
        <v>31</v>
      </c>
      <c r="G394" s="17" t="str">
        <f>IFERROR(__xludf.DUMMYFUNCTION("SPLIT(F394:F1393,""-"") "),"Teléfono")</f>
        <v>Teléfono</v>
      </c>
      <c r="H394" s="16" t="str">
        <f>IFERROR(__xludf.DUMMYFUNCTION("""COMPUTED_VALUE"""),"Gama alta")</f>
        <v>Gama alta</v>
      </c>
      <c r="I394" s="16" t="str">
        <f>IFERROR(__xludf.DUMMYFUNCTION("""COMPUTED_VALUE"""),"32GB")</f>
        <v>32GB</v>
      </c>
      <c r="J394" s="18">
        <v>169.2</v>
      </c>
      <c r="K394" s="16">
        <v>3.0</v>
      </c>
      <c r="L394" s="18">
        <v>507.6</v>
      </c>
      <c r="M394" s="16" t="s">
        <v>948</v>
      </c>
      <c r="N394" s="16" t="s">
        <v>949</v>
      </c>
      <c r="O394" s="16" t="s">
        <v>950</v>
      </c>
    </row>
    <row r="395" ht="15.75" customHeight="1">
      <c r="A395" s="19">
        <v>45615.0</v>
      </c>
      <c r="B395" s="16" t="s">
        <v>2359</v>
      </c>
      <c r="C395" s="16" t="str">
        <f t="shared" si="1"/>
        <v>Ciudad De M√©Xico</v>
      </c>
      <c r="D395" s="16" t="str">
        <f t="shared" si="2"/>
        <v>Ciudad De M√©Xico</v>
      </c>
      <c r="E395" s="16" t="str">
        <f t="shared" si="3"/>
        <v>Ciudad De MéXico</v>
      </c>
      <c r="F395" s="16" t="s">
        <v>229</v>
      </c>
      <c r="G395" s="17" t="str">
        <f>IFERROR(__xludf.DUMMYFUNCTION("SPLIT(F395:F1394,""-"") "),"Laptop")</f>
        <v>Laptop</v>
      </c>
      <c r="H395" s="16" t="str">
        <f>IFERROR(__xludf.DUMMYFUNCTION("""COMPUTED_VALUE"""),"Oficina")</f>
        <v>Oficina</v>
      </c>
      <c r="I395" s="16" t="str">
        <f>IFERROR(__xludf.DUMMYFUNCTION("""COMPUTED_VALUE"""),"4GB")</f>
        <v>4GB</v>
      </c>
      <c r="J395" s="18">
        <v>1057.56</v>
      </c>
      <c r="K395" s="16">
        <v>5.0</v>
      </c>
      <c r="L395" s="18">
        <v>5287.8</v>
      </c>
      <c r="M395" s="16" t="s">
        <v>1272</v>
      </c>
      <c r="N395" s="16" t="s">
        <v>1273</v>
      </c>
      <c r="O395" s="16" t="s">
        <v>1274</v>
      </c>
    </row>
    <row r="396" ht="15.75" customHeight="1">
      <c r="A396" s="19">
        <v>45648.0</v>
      </c>
      <c r="B396" s="16" t="s">
        <v>9</v>
      </c>
      <c r="C396" s="16" t="str">
        <f t="shared" si="1"/>
        <v>Monterrey</v>
      </c>
      <c r="D396" s="16" t="str">
        <f t="shared" si="2"/>
        <v>Monterrey</v>
      </c>
      <c r="E396" s="16" t="str">
        <f t="shared" si="3"/>
        <v>Monterrey</v>
      </c>
      <c r="F396" s="16" t="s">
        <v>85</v>
      </c>
      <c r="G396" s="17" t="str">
        <f>IFERROR(__xludf.DUMMYFUNCTION("SPLIT(F396:F1395,""-"") "),"Teléfono")</f>
        <v>Teléfono</v>
      </c>
      <c r="H396" s="16" t="str">
        <f>IFERROR(__xludf.DUMMYFUNCTION("""COMPUTED_VALUE"""),"Gama media")</f>
        <v>Gama media</v>
      </c>
      <c r="I396" s="16" t="str">
        <f>IFERROR(__xludf.DUMMYFUNCTION("""COMPUTED_VALUE"""),"32GB")</f>
        <v>32GB</v>
      </c>
      <c r="J396" s="18">
        <v>1567.55</v>
      </c>
      <c r="K396" s="16">
        <v>3.0</v>
      </c>
      <c r="L396" s="18">
        <v>4702.65</v>
      </c>
      <c r="M396" s="16" t="s">
        <v>2072</v>
      </c>
      <c r="N396" s="16" t="s">
        <v>2073</v>
      </c>
      <c r="O396" s="16" t="s">
        <v>2074</v>
      </c>
    </row>
    <row r="397" ht="15.75" customHeight="1">
      <c r="A397" s="23">
        <v>45608.0</v>
      </c>
      <c r="B397" s="16" t="s">
        <v>14</v>
      </c>
      <c r="C397" s="16" t="str">
        <f t="shared" si="1"/>
        <v>Bogotá</v>
      </c>
      <c r="D397" s="16" t="str">
        <f t="shared" si="2"/>
        <v>Bogotá</v>
      </c>
      <c r="E397" s="16" t="str">
        <f t="shared" si="3"/>
        <v>Bogotá</v>
      </c>
      <c r="F397" s="16" t="s">
        <v>282</v>
      </c>
      <c r="G397" s="17" t="str">
        <f>IFERROR(__xludf.DUMMYFUNCTION("SPLIT(F397:F1396,""-"") "),"Tablet")</f>
        <v>Tablet</v>
      </c>
      <c r="H397" s="16" t="str">
        <f>IFERROR(__xludf.DUMMYFUNCTION("""COMPUTED_VALUE"""),"Pro")</f>
        <v>Pro</v>
      </c>
      <c r="I397" s="16" t="str">
        <f>IFERROR(__xludf.DUMMYFUNCTION("""COMPUTED_VALUE"""),"16GB")</f>
        <v>16GB</v>
      </c>
      <c r="J397" s="18">
        <v>2012.81</v>
      </c>
      <c r="K397" s="16">
        <v>4.0</v>
      </c>
      <c r="L397" s="18">
        <v>8051.24</v>
      </c>
      <c r="M397" s="16" t="s">
        <v>1012</v>
      </c>
      <c r="N397" s="16" t="s">
        <v>1013</v>
      </c>
      <c r="O397" s="16" t="s">
        <v>1014</v>
      </c>
    </row>
    <row r="398" ht="15.75" customHeight="1">
      <c r="A398" s="19">
        <v>45591.0</v>
      </c>
      <c r="B398" s="16" t="s">
        <v>14</v>
      </c>
      <c r="C398" s="16" t="str">
        <f t="shared" si="1"/>
        <v>Bogotá</v>
      </c>
      <c r="D398" s="16" t="str">
        <f t="shared" si="2"/>
        <v>Bogotá</v>
      </c>
      <c r="E398" s="16" t="str">
        <f t="shared" si="3"/>
        <v>Bogotá</v>
      </c>
      <c r="F398" s="16" t="s">
        <v>71</v>
      </c>
      <c r="G398" s="17" t="str">
        <f>IFERROR(__xludf.DUMMYFUNCTION("SPLIT(F398:F1397,""-"") "),"Auriculares")</f>
        <v>Auriculares</v>
      </c>
      <c r="H398" s="16" t="str">
        <f>IFERROR(__xludf.DUMMYFUNCTION("""COMPUTED_VALUE"""),"Bluetooth")</f>
        <v>Bluetooth</v>
      </c>
      <c r="I398" s="16" t="str">
        <f>IFERROR(__xludf.DUMMYFUNCTION("""COMPUTED_VALUE"""),"16GB")</f>
        <v>16GB</v>
      </c>
      <c r="J398" s="18">
        <v>2101.18</v>
      </c>
      <c r="K398" s="16">
        <v>4.0</v>
      </c>
      <c r="L398" s="18">
        <v>8404.72</v>
      </c>
      <c r="M398" s="16" t="s">
        <v>648</v>
      </c>
      <c r="N398" s="16" t="s">
        <v>649</v>
      </c>
      <c r="O398" s="16" t="s">
        <v>650</v>
      </c>
    </row>
    <row r="399" ht="15.75" customHeight="1">
      <c r="A399" s="19">
        <v>45647.0</v>
      </c>
      <c r="B399" s="16" t="s">
        <v>75</v>
      </c>
      <c r="C399" s="16" t="str">
        <f t="shared" si="1"/>
        <v>Cali</v>
      </c>
      <c r="D399" s="16" t="str">
        <f t="shared" si="2"/>
        <v>Cali</v>
      </c>
      <c r="E399" s="16" t="str">
        <f t="shared" si="3"/>
        <v>Cali</v>
      </c>
      <c r="F399" s="16" t="s">
        <v>63</v>
      </c>
      <c r="G399" s="17" t="str">
        <f>IFERROR(__xludf.DUMMYFUNCTION("SPLIT(F399:F1398,""-"") "),"Laptop")</f>
        <v>Laptop</v>
      </c>
      <c r="H399" s="16" t="str">
        <f>IFERROR(__xludf.DUMMYFUNCTION("""COMPUTED_VALUE"""),"Ultraliviana")</f>
        <v>Ultraliviana</v>
      </c>
      <c r="I399" s="16" t="str">
        <f>IFERROR(__xludf.DUMMYFUNCTION("""COMPUTED_VALUE"""),"4GB")</f>
        <v>4GB</v>
      </c>
      <c r="J399" s="18">
        <v>2008.78</v>
      </c>
      <c r="K399" s="16">
        <v>5.0</v>
      </c>
      <c r="L399" s="18">
        <v>10043.9</v>
      </c>
      <c r="M399" s="16" t="s">
        <v>2051</v>
      </c>
      <c r="N399" s="16" t="s">
        <v>2052</v>
      </c>
      <c r="O399" s="16" t="s">
        <v>2053</v>
      </c>
    </row>
    <row r="400" ht="15.75" customHeight="1">
      <c r="A400" s="19">
        <v>45596.0</v>
      </c>
      <c r="B400" s="16" t="s">
        <v>14</v>
      </c>
      <c r="C400" s="16" t="str">
        <f t="shared" si="1"/>
        <v>Bogotá</v>
      </c>
      <c r="D400" s="16" t="str">
        <f t="shared" si="2"/>
        <v>Bogotá</v>
      </c>
      <c r="E400" s="16" t="str">
        <f t="shared" si="3"/>
        <v>Bogotá</v>
      </c>
      <c r="F400" s="16" t="s">
        <v>344</v>
      </c>
      <c r="G400" s="17" t="str">
        <f>IFERROR(__xludf.DUMMYFUNCTION("SPLIT(F400:F1399,""-"") "),"Laptop")</f>
        <v>Laptop</v>
      </c>
      <c r="H400" s="16" t="str">
        <f>IFERROR(__xludf.DUMMYFUNCTION("""COMPUTED_VALUE"""),"Ultraliviana")</f>
        <v>Ultraliviana</v>
      </c>
      <c r="I400" s="16" t="str">
        <f>IFERROR(__xludf.DUMMYFUNCTION("""COMPUTED_VALUE"""),"8GB")</f>
        <v>8GB</v>
      </c>
      <c r="J400" s="18">
        <v>1451.3</v>
      </c>
      <c r="K400" s="16">
        <v>2.0</v>
      </c>
      <c r="L400" s="18">
        <v>2902.6</v>
      </c>
      <c r="M400" s="16" t="s">
        <v>784</v>
      </c>
      <c r="N400" s="16" t="s">
        <v>785</v>
      </c>
      <c r="O400" s="16" t="s">
        <v>786</v>
      </c>
    </row>
    <row r="401" ht="15.75" customHeight="1">
      <c r="A401" s="19">
        <v>45579.0</v>
      </c>
      <c r="B401" s="16" t="s">
        <v>58</v>
      </c>
      <c r="C401" s="16" t="str">
        <f t="shared" si="1"/>
        <v>Guadalajara</v>
      </c>
      <c r="D401" s="16" t="str">
        <f t="shared" si="2"/>
        <v>Guadalajara</v>
      </c>
      <c r="E401" s="16" t="str">
        <f t="shared" si="3"/>
        <v>Guadalajara</v>
      </c>
      <c r="F401" s="16" t="s">
        <v>225</v>
      </c>
      <c r="G401" s="17" t="str">
        <f>IFERROR(__xludf.DUMMYFUNCTION("SPLIT(F401:F1400,""-"") "),"Laptop")</f>
        <v>Laptop</v>
      </c>
      <c r="H401" s="16" t="str">
        <f>IFERROR(__xludf.DUMMYFUNCTION("""COMPUTED_VALUE"""),"Gaming")</f>
        <v>Gaming</v>
      </c>
      <c r="I401" s="16" t="str">
        <f>IFERROR(__xludf.DUMMYFUNCTION("""COMPUTED_VALUE"""),"16GB")</f>
        <v>16GB</v>
      </c>
      <c r="J401" s="18">
        <v>1291.39</v>
      </c>
      <c r="K401" s="16">
        <v>3.0</v>
      </c>
      <c r="L401" s="18">
        <v>3874.17</v>
      </c>
      <c r="M401" s="16" t="s">
        <v>226</v>
      </c>
      <c r="N401" s="16" t="s">
        <v>227</v>
      </c>
      <c r="O401" s="16" t="s">
        <v>228</v>
      </c>
    </row>
    <row r="402" ht="15.75" customHeight="1">
      <c r="A402" s="19">
        <v>45625.0</v>
      </c>
      <c r="B402" s="16" t="s">
        <v>75</v>
      </c>
      <c r="C402" s="16" t="str">
        <f t="shared" si="1"/>
        <v>Cali</v>
      </c>
      <c r="D402" s="16" t="str">
        <f t="shared" si="2"/>
        <v>Cali</v>
      </c>
      <c r="E402" s="16" t="str">
        <f t="shared" si="3"/>
        <v>Cali</v>
      </c>
      <c r="F402" s="16" t="s">
        <v>63</v>
      </c>
      <c r="G402" s="17" t="str">
        <f>IFERROR(__xludf.DUMMYFUNCTION("SPLIT(F402:F1401,""-"") "),"Laptop")</f>
        <v>Laptop</v>
      </c>
      <c r="H402" s="16" t="str">
        <f>IFERROR(__xludf.DUMMYFUNCTION("""COMPUTED_VALUE"""),"Ultraliviana")</f>
        <v>Ultraliviana</v>
      </c>
      <c r="I402" s="16" t="str">
        <f>IFERROR(__xludf.DUMMYFUNCTION("""COMPUTED_VALUE"""),"4GB")</f>
        <v>4GB</v>
      </c>
      <c r="J402" s="18">
        <v>1083.91</v>
      </c>
      <c r="K402" s="16">
        <v>3.0</v>
      </c>
      <c r="L402" s="18">
        <v>3251.73</v>
      </c>
      <c r="M402" s="16" t="s">
        <v>1596</v>
      </c>
      <c r="N402" s="16" t="s">
        <v>1597</v>
      </c>
      <c r="O402" s="16" t="s">
        <v>1598</v>
      </c>
    </row>
    <row r="403" ht="15.75" customHeight="1">
      <c r="A403" s="23">
        <v>45302.0</v>
      </c>
      <c r="B403" s="16" t="s">
        <v>14</v>
      </c>
      <c r="C403" s="16" t="str">
        <f t="shared" si="1"/>
        <v>Bogotá</v>
      </c>
      <c r="D403" s="16" t="str">
        <f t="shared" si="2"/>
        <v>Bogotá</v>
      </c>
      <c r="E403" s="16" t="str">
        <f t="shared" si="3"/>
        <v>Bogotá</v>
      </c>
      <c r="F403" s="16" t="s">
        <v>85</v>
      </c>
      <c r="G403" s="17" t="str">
        <f>IFERROR(__xludf.DUMMYFUNCTION("SPLIT(F403:F1402,""-"") "),"Teléfono")</f>
        <v>Teléfono</v>
      </c>
      <c r="H403" s="16" t="str">
        <f>IFERROR(__xludf.DUMMYFUNCTION("""COMPUTED_VALUE"""),"Gama media")</f>
        <v>Gama media</v>
      </c>
      <c r="I403" s="16" t="str">
        <f>IFERROR(__xludf.DUMMYFUNCTION("""COMPUTED_VALUE"""),"32GB")</f>
        <v>32GB</v>
      </c>
      <c r="J403" s="18">
        <v>1181.12</v>
      </c>
      <c r="K403" s="16">
        <v>3.0</v>
      </c>
      <c r="L403" s="18">
        <v>3543.36</v>
      </c>
      <c r="M403" s="16" t="s">
        <v>2632</v>
      </c>
      <c r="N403" s="16" t="s">
        <v>2633</v>
      </c>
      <c r="O403" s="16" t="s">
        <v>2634</v>
      </c>
    </row>
    <row r="404" ht="15.75" customHeight="1">
      <c r="A404" s="19">
        <v>45609.0</v>
      </c>
      <c r="B404" s="16" t="s">
        <v>2359</v>
      </c>
      <c r="C404" s="16" t="str">
        <f t="shared" si="1"/>
        <v>Ciudad De M√©Xico</v>
      </c>
      <c r="D404" s="16" t="str">
        <f t="shared" si="2"/>
        <v>Ciudad De M√©Xico</v>
      </c>
      <c r="E404" s="16" t="str">
        <f t="shared" si="3"/>
        <v>Ciudad De MéXico</v>
      </c>
      <c r="F404" s="16" t="s">
        <v>259</v>
      </c>
      <c r="G404" s="17" t="str">
        <f>IFERROR(__xludf.DUMMYFUNCTION("SPLIT(F404:F1403,""-"") "),"Auriculares")</f>
        <v>Auriculares</v>
      </c>
      <c r="H404" s="16" t="str">
        <f>IFERROR(__xludf.DUMMYFUNCTION("""COMPUTED_VALUE"""),"Cancelación de ruido")</f>
        <v>Cancelación de ruido</v>
      </c>
      <c r="I404" s="16" t="str">
        <f>IFERROR(__xludf.DUMMYFUNCTION("""COMPUTED_VALUE"""),"8GB")</f>
        <v>8GB</v>
      </c>
      <c r="J404" s="18">
        <v>1665.73</v>
      </c>
      <c r="K404" s="16">
        <v>2.0</v>
      </c>
      <c r="L404" s="18">
        <v>3331.46</v>
      </c>
      <c r="M404" s="16" t="s">
        <v>1048</v>
      </c>
      <c r="N404" s="16" t="s">
        <v>1049</v>
      </c>
      <c r="O404" s="16" t="s">
        <v>1050</v>
      </c>
    </row>
    <row r="405" ht="15.75" customHeight="1">
      <c r="A405" s="23">
        <v>45362.0</v>
      </c>
      <c r="B405" s="16" t="s">
        <v>58</v>
      </c>
      <c r="C405" s="16" t="str">
        <f t="shared" si="1"/>
        <v>Guadalajara</v>
      </c>
      <c r="D405" s="16" t="str">
        <f t="shared" si="2"/>
        <v>Guadalajara</v>
      </c>
      <c r="E405" s="16" t="str">
        <f t="shared" si="3"/>
        <v>Guadalajara</v>
      </c>
      <c r="F405" s="16" t="s">
        <v>50</v>
      </c>
      <c r="G405" s="17" t="str">
        <f>IFERROR(__xludf.DUMMYFUNCTION("SPLIT(F405:F1404,""-"") "),"Tablet")</f>
        <v>Tablet</v>
      </c>
      <c r="H405" s="16" t="str">
        <f>IFERROR(__xludf.DUMMYFUNCTION("""COMPUTED_VALUE"""),"Estándar")</f>
        <v>Estándar</v>
      </c>
      <c r="I405" s="16" t="str">
        <f>IFERROR(__xludf.DUMMYFUNCTION("""COMPUTED_VALUE"""),"32GB")</f>
        <v>32GB</v>
      </c>
      <c r="J405" s="18">
        <v>1083.6</v>
      </c>
      <c r="K405" s="16">
        <v>1.0</v>
      </c>
      <c r="L405" s="18">
        <v>1083.6</v>
      </c>
      <c r="M405" s="16" t="s">
        <v>2635</v>
      </c>
      <c r="N405" s="16" t="s">
        <v>2636</v>
      </c>
      <c r="O405" s="16" t="s">
        <v>2637</v>
      </c>
    </row>
    <row r="406" ht="15.75" customHeight="1">
      <c r="A406" s="23">
        <v>45606.0</v>
      </c>
      <c r="B406" s="16" t="s">
        <v>75</v>
      </c>
      <c r="C406" s="16" t="str">
        <f t="shared" si="1"/>
        <v>Cali</v>
      </c>
      <c r="D406" s="16" t="str">
        <f t="shared" si="2"/>
        <v>Cali</v>
      </c>
      <c r="E406" s="16" t="str">
        <f t="shared" si="3"/>
        <v>Cali</v>
      </c>
      <c r="F406" s="16" t="s">
        <v>389</v>
      </c>
      <c r="G406" s="17" t="str">
        <f>IFERROR(__xludf.DUMMYFUNCTION("SPLIT(F406:F1405,""-"") "),"Auriculares")</f>
        <v>Auriculares</v>
      </c>
      <c r="H406" s="16" t="str">
        <f>IFERROR(__xludf.DUMMYFUNCTION("""COMPUTED_VALUE"""),"Cancelación de ruido")</f>
        <v>Cancelación de ruido</v>
      </c>
      <c r="I406" s="16" t="str">
        <f>IFERROR(__xludf.DUMMYFUNCTION("""COMPUTED_VALUE"""),"4GB")</f>
        <v>4GB</v>
      </c>
      <c r="J406" s="18">
        <v>1614.84</v>
      </c>
      <c r="K406" s="16">
        <v>3.0</v>
      </c>
      <c r="L406" s="18">
        <v>4844.52</v>
      </c>
      <c r="M406" s="16" t="s">
        <v>951</v>
      </c>
      <c r="N406" s="16" t="s">
        <v>952</v>
      </c>
      <c r="O406" s="16" t="s">
        <v>953</v>
      </c>
    </row>
    <row r="407" ht="15.75" customHeight="1">
      <c r="A407" s="19">
        <v>45589.0</v>
      </c>
      <c r="B407" s="16" t="s">
        <v>75</v>
      </c>
      <c r="C407" s="16" t="str">
        <f t="shared" si="1"/>
        <v>Cali</v>
      </c>
      <c r="D407" s="16" t="str">
        <f t="shared" si="2"/>
        <v>Cali</v>
      </c>
      <c r="E407" s="16" t="str">
        <f t="shared" si="3"/>
        <v>Cali</v>
      </c>
      <c r="F407" s="16" t="s">
        <v>272</v>
      </c>
      <c r="G407" s="17" t="str">
        <f>IFERROR(__xludf.DUMMYFUNCTION("SPLIT(F407:F1406,""-"") "),"Teléfono")</f>
        <v>Teléfono</v>
      </c>
      <c r="H407" s="16" t="str">
        <f>IFERROR(__xludf.DUMMYFUNCTION("""COMPUTED_VALUE"""),"Gama baja")</f>
        <v>Gama baja</v>
      </c>
      <c r="I407" s="16" t="str">
        <f>IFERROR(__xludf.DUMMYFUNCTION("""COMPUTED_VALUE"""),"32GB")</f>
        <v>32GB</v>
      </c>
      <c r="J407" s="18">
        <v>1261.22</v>
      </c>
      <c r="K407" s="16">
        <v>2.0</v>
      </c>
      <c r="L407" s="18">
        <v>2522.44</v>
      </c>
      <c r="M407" s="16" t="s">
        <v>599</v>
      </c>
      <c r="N407" s="16" t="s">
        <v>600</v>
      </c>
      <c r="O407" s="16" t="s">
        <v>601</v>
      </c>
    </row>
    <row r="408" ht="15.75" customHeight="1">
      <c r="A408" s="19">
        <v>45580.0</v>
      </c>
      <c r="B408" s="16" t="s">
        <v>75</v>
      </c>
      <c r="C408" s="16" t="str">
        <f t="shared" si="1"/>
        <v>Cali</v>
      </c>
      <c r="D408" s="16" t="str">
        <f t="shared" si="2"/>
        <v>Cali</v>
      </c>
      <c r="E408" s="16" t="str">
        <f t="shared" si="3"/>
        <v>Cali</v>
      </c>
      <c r="F408" s="16" t="s">
        <v>272</v>
      </c>
      <c r="G408" s="17" t="str">
        <f>IFERROR(__xludf.DUMMYFUNCTION("SPLIT(F408:F1407,""-"") "),"Teléfono")</f>
        <v>Teléfono</v>
      </c>
      <c r="H408" s="16" t="str">
        <f>IFERROR(__xludf.DUMMYFUNCTION("""COMPUTED_VALUE"""),"Gama baja")</f>
        <v>Gama baja</v>
      </c>
      <c r="I408" s="16" t="str">
        <f>IFERROR(__xludf.DUMMYFUNCTION("""COMPUTED_VALUE"""),"32GB")</f>
        <v>32GB</v>
      </c>
      <c r="J408" s="18">
        <v>571.73</v>
      </c>
      <c r="K408" s="16">
        <v>4.0</v>
      </c>
      <c r="L408" s="18">
        <v>2286.92</v>
      </c>
      <c r="M408" s="16" t="s">
        <v>273</v>
      </c>
      <c r="N408" s="16" t="s">
        <v>274</v>
      </c>
      <c r="O408" s="16" t="s">
        <v>275</v>
      </c>
    </row>
    <row r="409" ht="15.75" customHeight="1">
      <c r="A409" s="19">
        <v>45652.0</v>
      </c>
      <c r="B409" s="16" t="s">
        <v>35</v>
      </c>
      <c r="C409" s="16" t="str">
        <f t="shared" si="1"/>
        <v>Medellín</v>
      </c>
      <c r="D409" s="16" t="str">
        <f t="shared" si="2"/>
        <v>Medellín</v>
      </c>
      <c r="E409" s="16" t="str">
        <f t="shared" si="3"/>
        <v>Medellín</v>
      </c>
      <c r="F409" s="16" t="s">
        <v>389</v>
      </c>
      <c r="G409" s="17" t="str">
        <f>IFERROR(__xludf.DUMMYFUNCTION("SPLIT(F409:F1408,""-"") "),"Auriculares")</f>
        <v>Auriculares</v>
      </c>
      <c r="H409" s="16" t="str">
        <f>IFERROR(__xludf.DUMMYFUNCTION("""COMPUTED_VALUE"""),"Cancelación de ruido")</f>
        <v>Cancelación de ruido</v>
      </c>
      <c r="I409" s="16" t="str">
        <f>IFERROR(__xludf.DUMMYFUNCTION("""COMPUTED_VALUE"""),"4GB")</f>
        <v>4GB</v>
      </c>
      <c r="J409" s="18">
        <v>1056.48</v>
      </c>
      <c r="K409" s="16">
        <v>4.0</v>
      </c>
      <c r="L409" s="18">
        <v>4225.92</v>
      </c>
      <c r="M409" s="16" t="s">
        <v>2198</v>
      </c>
      <c r="N409" s="16" t="s">
        <v>2199</v>
      </c>
      <c r="O409" s="16" t="s">
        <v>2200</v>
      </c>
    </row>
    <row r="410" ht="15.75" customHeight="1">
      <c r="A410" s="23">
        <v>45454.0</v>
      </c>
      <c r="B410" s="16" t="s">
        <v>35</v>
      </c>
      <c r="C410" s="16" t="str">
        <f t="shared" si="1"/>
        <v>Medellín</v>
      </c>
      <c r="D410" s="16" t="str">
        <f t="shared" si="2"/>
        <v>Medellín</v>
      </c>
      <c r="E410" s="16" t="str">
        <f t="shared" si="3"/>
        <v>Medellín</v>
      </c>
      <c r="F410" s="16" t="s">
        <v>171</v>
      </c>
      <c r="G410" s="17" t="str">
        <f>IFERROR(__xludf.DUMMYFUNCTION("SPLIT(F410:F1409,""-"") "),"Teléfono")</f>
        <v>Teléfono</v>
      </c>
      <c r="H410" s="16" t="str">
        <f>IFERROR(__xludf.DUMMYFUNCTION("""COMPUTED_VALUE"""),"Gama baja")</f>
        <v>Gama baja</v>
      </c>
      <c r="I410" s="16" t="str">
        <f>IFERROR(__xludf.DUMMYFUNCTION("""COMPUTED_VALUE"""),"4GB")</f>
        <v>4GB</v>
      </c>
      <c r="J410" s="18">
        <v>292.81</v>
      </c>
      <c r="K410" s="16">
        <v>5.0</v>
      </c>
      <c r="L410" s="18">
        <v>1464.05</v>
      </c>
      <c r="M410" s="16" t="s">
        <v>2638</v>
      </c>
      <c r="N410" s="16" t="s">
        <v>2639</v>
      </c>
      <c r="O410" s="16" t="s">
        <v>2640</v>
      </c>
    </row>
    <row r="411" ht="15.75" customHeight="1">
      <c r="A411" s="23">
        <v>45576.0</v>
      </c>
      <c r="B411" s="16" t="s">
        <v>35</v>
      </c>
      <c r="C411" s="16" t="str">
        <f t="shared" si="1"/>
        <v>Medellín</v>
      </c>
      <c r="D411" s="16" t="str">
        <f t="shared" si="2"/>
        <v>Medellín</v>
      </c>
      <c r="E411" s="16" t="str">
        <f t="shared" si="3"/>
        <v>Medellín</v>
      </c>
      <c r="F411" s="16" t="s">
        <v>40</v>
      </c>
      <c r="G411" s="17" t="str">
        <f>IFERROR(__xludf.DUMMYFUNCTION("SPLIT(F411:F1410,""-"") "),"Auriculares")</f>
        <v>Auriculares</v>
      </c>
      <c r="H411" s="16" t="str">
        <f>IFERROR(__xludf.DUMMYFUNCTION("""COMPUTED_VALUE"""),"Con cable")</f>
        <v>Con cable</v>
      </c>
      <c r="I411" s="16" t="str">
        <f>IFERROR(__xludf.DUMMYFUNCTION("""COMPUTED_VALUE"""),"8GB")</f>
        <v>8GB</v>
      </c>
      <c r="J411" s="18">
        <v>2085.29</v>
      </c>
      <c r="K411" s="16">
        <v>1.0</v>
      </c>
      <c r="L411" s="18">
        <v>2085.29</v>
      </c>
      <c r="M411" s="16" t="s">
        <v>113</v>
      </c>
      <c r="N411" s="16" t="s">
        <v>114</v>
      </c>
      <c r="O411" s="16" t="s">
        <v>115</v>
      </c>
    </row>
    <row r="412" ht="15.75" customHeight="1">
      <c r="A412" s="19">
        <v>45626.0</v>
      </c>
      <c r="B412" s="16" t="s">
        <v>9</v>
      </c>
      <c r="C412" s="16" t="str">
        <f t="shared" si="1"/>
        <v>Monterrey</v>
      </c>
      <c r="D412" s="16" t="str">
        <f t="shared" si="2"/>
        <v>Monterrey</v>
      </c>
      <c r="E412" s="16" t="str">
        <f t="shared" si="3"/>
        <v>Monterrey</v>
      </c>
      <c r="F412" s="16" t="s">
        <v>67</v>
      </c>
      <c r="G412" s="17" t="str">
        <f>IFERROR(__xludf.DUMMYFUNCTION("SPLIT(F412:F1411,""-"") "),"Tablet")</f>
        <v>Tablet</v>
      </c>
      <c r="H412" s="16" t="str">
        <f>IFERROR(__xludf.DUMMYFUNCTION("""COMPUTED_VALUE"""),"Estándar")</f>
        <v>Estándar</v>
      </c>
      <c r="I412" s="16" t="str">
        <f>IFERROR(__xludf.DUMMYFUNCTION("""COMPUTED_VALUE"""),"4GB")</f>
        <v>4GB</v>
      </c>
      <c r="J412" s="18">
        <v>206.29</v>
      </c>
      <c r="K412" s="16">
        <v>4.0</v>
      </c>
      <c r="L412" s="18">
        <v>825.16</v>
      </c>
      <c r="M412" s="16" t="s">
        <v>1617</v>
      </c>
      <c r="N412" s="16" t="s">
        <v>1618</v>
      </c>
      <c r="O412" s="16" t="s">
        <v>1619</v>
      </c>
    </row>
    <row r="413" ht="15.75" customHeight="1">
      <c r="A413" s="23">
        <v>45302.0</v>
      </c>
      <c r="B413" s="16" t="s">
        <v>14</v>
      </c>
      <c r="C413" s="16" t="str">
        <f t="shared" si="1"/>
        <v>Bogotá</v>
      </c>
      <c r="D413" s="16" t="str">
        <f t="shared" si="2"/>
        <v>Bogotá</v>
      </c>
      <c r="E413" s="16" t="str">
        <f t="shared" si="3"/>
        <v>Bogotá</v>
      </c>
      <c r="F413" s="16" t="s">
        <v>319</v>
      </c>
      <c r="G413" s="17" t="str">
        <f>IFERROR(__xludf.DUMMYFUNCTION("SPLIT(F413:F1412,""-"") "),"Tablet")</f>
        <v>Tablet</v>
      </c>
      <c r="H413" s="16" t="str">
        <f>IFERROR(__xludf.DUMMYFUNCTION("""COMPUTED_VALUE"""),"Pro")</f>
        <v>Pro</v>
      </c>
      <c r="I413" s="16" t="str">
        <f>IFERROR(__xludf.DUMMYFUNCTION("""COMPUTED_VALUE"""),"32GB")</f>
        <v>32GB</v>
      </c>
      <c r="J413" s="18">
        <v>271.04</v>
      </c>
      <c r="K413" s="16">
        <v>4.0</v>
      </c>
      <c r="L413" s="18">
        <v>1084.16</v>
      </c>
      <c r="M413" s="16" t="s">
        <v>2641</v>
      </c>
      <c r="N413" s="16" t="s">
        <v>2642</v>
      </c>
      <c r="O413" s="16" t="s">
        <v>2643</v>
      </c>
    </row>
    <row r="414" ht="15.75" customHeight="1">
      <c r="A414" s="23">
        <v>45392.0</v>
      </c>
      <c r="B414" s="16" t="s">
        <v>75</v>
      </c>
      <c r="C414" s="16" t="str">
        <f t="shared" si="1"/>
        <v>Cali</v>
      </c>
      <c r="D414" s="16" t="str">
        <f t="shared" si="2"/>
        <v>Cali</v>
      </c>
      <c r="E414" s="16" t="str">
        <f t="shared" si="3"/>
        <v>Cali</v>
      </c>
      <c r="F414" s="16" t="s">
        <v>233</v>
      </c>
      <c r="G414" s="17" t="str">
        <f>IFERROR(__xludf.DUMMYFUNCTION("SPLIT(F414:F1413,""-"") "),"Tablet")</f>
        <v>Tablet</v>
      </c>
      <c r="H414" s="16" t="str">
        <f>IFERROR(__xludf.DUMMYFUNCTION("""COMPUTED_VALUE"""),"Mini")</f>
        <v>Mini</v>
      </c>
      <c r="I414" s="16" t="str">
        <f>IFERROR(__xludf.DUMMYFUNCTION("""COMPUTED_VALUE"""),"16GB")</f>
        <v>16GB</v>
      </c>
      <c r="J414" s="18">
        <v>1770.13</v>
      </c>
      <c r="K414" s="16">
        <v>1.0</v>
      </c>
      <c r="L414" s="18">
        <v>1770.13</v>
      </c>
      <c r="M414" s="16" t="s">
        <v>2644</v>
      </c>
      <c r="N414" s="16" t="s">
        <v>2645</v>
      </c>
      <c r="O414" s="16" t="s">
        <v>2646</v>
      </c>
    </row>
    <row r="415" ht="15.75" customHeight="1">
      <c r="A415" s="19">
        <v>45649.0</v>
      </c>
      <c r="B415" s="16" t="s">
        <v>14</v>
      </c>
      <c r="C415" s="16" t="str">
        <f t="shared" si="1"/>
        <v>Bogotá</v>
      </c>
      <c r="D415" s="16" t="str">
        <f t="shared" si="2"/>
        <v>Bogotá</v>
      </c>
      <c r="E415" s="16" t="str">
        <f t="shared" si="3"/>
        <v>Bogotá</v>
      </c>
      <c r="F415" s="16" t="s">
        <v>255</v>
      </c>
      <c r="G415" s="17" t="str">
        <f>IFERROR(__xludf.DUMMYFUNCTION("SPLIT(F415:F1414,""-"") "),"Auriculares")</f>
        <v>Auriculares</v>
      </c>
      <c r="H415" s="16" t="str">
        <f>IFERROR(__xludf.DUMMYFUNCTION("""COMPUTED_VALUE"""),"Bluetooth")</f>
        <v>Bluetooth</v>
      </c>
      <c r="I415" s="16" t="str">
        <f>IFERROR(__xludf.DUMMYFUNCTION("""COMPUTED_VALUE"""),"8GB")</f>
        <v>8GB</v>
      </c>
      <c r="J415" s="18">
        <v>988.8</v>
      </c>
      <c r="K415" s="16">
        <v>5.0</v>
      </c>
      <c r="L415" s="18">
        <v>4944.0</v>
      </c>
      <c r="M415" s="16" t="s">
        <v>2102</v>
      </c>
      <c r="N415" s="16" t="s">
        <v>2103</v>
      </c>
      <c r="O415" s="16" t="s">
        <v>2104</v>
      </c>
    </row>
    <row r="416" ht="15.75" customHeight="1">
      <c r="A416" s="23">
        <v>45607.0</v>
      </c>
      <c r="B416" s="16" t="s">
        <v>116</v>
      </c>
      <c r="C416" s="16" t="str">
        <f t="shared" si="1"/>
        <v>Guadalajara</v>
      </c>
      <c r="D416" s="16" t="str">
        <f t="shared" si="2"/>
        <v>Guadalajara</v>
      </c>
      <c r="E416" s="16" t="str">
        <f t="shared" si="3"/>
        <v>Guadalajara</v>
      </c>
      <c r="F416" s="16" t="s">
        <v>23</v>
      </c>
      <c r="G416" s="17" t="str">
        <f>IFERROR(__xludf.DUMMYFUNCTION("SPLIT(F416:F1415,""-"") "),"Tablet")</f>
        <v>Tablet</v>
      </c>
      <c r="H416" s="16" t="str">
        <f>IFERROR(__xludf.DUMMYFUNCTION("""COMPUTED_VALUE"""),"Estándar")</f>
        <v>Estándar</v>
      </c>
      <c r="I416" s="16" t="str">
        <f>IFERROR(__xludf.DUMMYFUNCTION("""COMPUTED_VALUE"""),"16GB")</f>
        <v>16GB</v>
      </c>
      <c r="J416" s="18">
        <v>1170.2</v>
      </c>
      <c r="K416" s="16">
        <v>1.0</v>
      </c>
      <c r="L416" s="18">
        <v>1170.2</v>
      </c>
      <c r="M416" s="16" t="s">
        <v>978</v>
      </c>
      <c r="N416" s="16" t="s">
        <v>979</v>
      </c>
      <c r="O416" s="16" t="s">
        <v>980</v>
      </c>
    </row>
    <row r="417" ht="15.75" customHeight="1">
      <c r="A417" s="19">
        <v>45589.0</v>
      </c>
      <c r="B417" s="16" t="s">
        <v>75</v>
      </c>
      <c r="C417" s="16" t="str">
        <f t="shared" si="1"/>
        <v>Cali</v>
      </c>
      <c r="D417" s="16" t="str">
        <f t="shared" si="2"/>
        <v>Cali</v>
      </c>
      <c r="E417" s="16" t="str">
        <f t="shared" si="3"/>
        <v>Cali</v>
      </c>
      <c r="F417" s="16" t="s">
        <v>15</v>
      </c>
      <c r="G417" s="17" t="str">
        <f>IFERROR(__xludf.DUMMYFUNCTION("SPLIT(F417:F1416,""-"") "),"Auriculares")</f>
        <v>Auriculares</v>
      </c>
      <c r="H417" s="16" t="str">
        <f>IFERROR(__xludf.DUMMYFUNCTION("""COMPUTED_VALUE"""),"Con cable")</f>
        <v>Con cable</v>
      </c>
      <c r="I417" s="16" t="str">
        <f>IFERROR(__xludf.DUMMYFUNCTION("""COMPUTED_VALUE"""),"32GB")</f>
        <v>32GB</v>
      </c>
      <c r="J417" s="18">
        <v>2418.11</v>
      </c>
      <c r="K417" s="16">
        <v>1.0</v>
      </c>
      <c r="L417" s="18">
        <v>2418.11</v>
      </c>
      <c r="M417" s="16" t="s">
        <v>602</v>
      </c>
      <c r="N417" s="16" t="s">
        <v>603</v>
      </c>
      <c r="O417" s="16" t="s">
        <v>604</v>
      </c>
    </row>
    <row r="418" ht="15.75" customHeight="1">
      <c r="A418" s="23">
        <v>45334.0</v>
      </c>
      <c r="B418" s="16" t="s">
        <v>58</v>
      </c>
      <c r="C418" s="16" t="str">
        <f t="shared" si="1"/>
        <v>Guadalajara</v>
      </c>
      <c r="D418" s="16" t="str">
        <f t="shared" si="2"/>
        <v>Guadalajara</v>
      </c>
      <c r="E418" s="16" t="str">
        <f t="shared" si="3"/>
        <v>Guadalajara</v>
      </c>
      <c r="F418" s="16" t="s">
        <v>311</v>
      </c>
      <c r="G418" s="17" t="str">
        <f>IFERROR(__xludf.DUMMYFUNCTION("SPLIT(F418:F1417,""-"") "),"Laptop")</f>
        <v>Laptop</v>
      </c>
      <c r="H418" s="16" t="str">
        <f>IFERROR(__xludf.DUMMYFUNCTION("""COMPUTED_VALUE"""),"Ultraliviana")</f>
        <v>Ultraliviana</v>
      </c>
      <c r="I418" s="16" t="str">
        <f>IFERROR(__xludf.DUMMYFUNCTION("""COMPUTED_VALUE"""),"32GB")</f>
        <v>32GB</v>
      </c>
      <c r="J418" s="18">
        <v>1639.83</v>
      </c>
      <c r="K418" s="16">
        <v>4.0</v>
      </c>
      <c r="L418" s="18">
        <v>6559.32</v>
      </c>
      <c r="M418" s="16" t="s">
        <v>2647</v>
      </c>
      <c r="N418" s="16" t="s">
        <v>2648</v>
      </c>
      <c r="O418" s="16" t="s">
        <v>2649</v>
      </c>
    </row>
    <row r="419" ht="15.75" customHeight="1">
      <c r="A419" s="19">
        <v>45609.0</v>
      </c>
      <c r="B419" s="16" t="s">
        <v>14</v>
      </c>
      <c r="C419" s="16" t="str">
        <f t="shared" si="1"/>
        <v>Bogotá</v>
      </c>
      <c r="D419" s="16" t="str">
        <f t="shared" si="2"/>
        <v>Bogotá</v>
      </c>
      <c r="E419" s="16" t="str">
        <f t="shared" si="3"/>
        <v>Bogotá</v>
      </c>
      <c r="F419" s="16" t="s">
        <v>182</v>
      </c>
      <c r="G419" s="17" t="str">
        <f>IFERROR(__xludf.DUMMYFUNCTION("SPLIT(F419:F1418,""-"") "),"Tablet")</f>
        <v>Tablet</v>
      </c>
      <c r="H419" s="16" t="str">
        <f>IFERROR(__xludf.DUMMYFUNCTION("""COMPUTED_VALUE"""),"Mini")</f>
        <v>Mini</v>
      </c>
      <c r="I419" s="16" t="str">
        <f>IFERROR(__xludf.DUMMYFUNCTION("""COMPUTED_VALUE"""),"4GB")</f>
        <v>4GB</v>
      </c>
      <c r="J419" s="18">
        <v>1373.32</v>
      </c>
      <c r="K419" s="16">
        <v>1.0</v>
      </c>
      <c r="L419" s="18">
        <v>1373.32</v>
      </c>
      <c r="M419" s="16" t="s">
        <v>1051</v>
      </c>
      <c r="N419" s="16" t="s">
        <v>1052</v>
      </c>
      <c r="O419" s="16" t="s">
        <v>1053</v>
      </c>
    </row>
    <row r="420" ht="15.75" customHeight="1">
      <c r="A420" s="23">
        <v>45545.0</v>
      </c>
      <c r="B420" s="16" t="s">
        <v>35</v>
      </c>
      <c r="C420" s="16" t="str">
        <f t="shared" si="1"/>
        <v>Medellín</v>
      </c>
      <c r="D420" s="16" t="str">
        <f t="shared" si="2"/>
        <v>Medellín</v>
      </c>
      <c r="E420" s="16" t="str">
        <f t="shared" si="3"/>
        <v>Medellín</v>
      </c>
      <c r="F420" s="16" t="s">
        <v>389</v>
      </c>
      <c r="G420" s="17" t="str">
        <f>IFERROR(__xludf.DUMMYFUNCTION("SPLIT(F420:F1419,""-"") "),"Auriculares")</f>
        <v>Auriculares</v>
      </c>
      <c r="H420" s="16" t="str">
        <f>IFERROR(__xludf.DUMMYFUNCTION("""COMPUTED_VALUE"""),"Cancelación de ruido")</f>
        <v>Cancelación de ruido</v>
      </c>
      <c r="I420" s="16" t="str">
        <f>IFERROR(__xludf.DUMMYFUNCTION("""COMPUTED_VALUE"""),"4GB")</f>
        <v>4GB</v>
      </c>
      <c r="J420" s="18">
        <v>825.4</v>
      </c>
      <c r="K420" s="16">
        <v>4.0</v>
      </c>
      <c r="L420" s="18">
        <v>3301.6</v>
      </c>
      <c r="M420" s="16" t="s">
        <v>2650</v>
      </c>
      <c r="N420" s="16" t="s">
        <v>2651</v>
      </c>
      <c r="O420" s="16" t="s">
        <v>2652</v>
      </c>
    </row>
    <row r="421" ht="15.75" customHeight="1">
      <c r="A421" s="19">
        <v>45588.0</v>
      </c>
      <c r="B421" s="16" t="s">
        <v>75</v>
      </c>
      <c r="C421" s="16" t="str">
        <f t="shared" si="1"/>
        <v>Cali</v>
      </c>
      <c r="D421" s="16" t="str">
        <f t="shared" si="2"/>
        <v>Cali</v>
      </c>
      <c r="E421" s="16" t="str">
        <f t="shared" si="3"/>
        <v>Cali</v>
      </c>
      <c r="F421" s="16" t="s">
        <v>54</v>
      </c>
      <c r="G421" s="17" t="str">
        <f>IFERROR(__xludf.DUMMYFUNCTION("SPLIT(F421:F1420,""-"") "),"Laptop")</f>
        <v>Laptop</v>
      </c>
      <c r="H421" s="16" t="str">
        <f>IFERROR(__xludf.DUMMYFUNCTION("""COMPUTED_VALUE"""),"Oficina")</f>
        <v>Oficina</v>
      </c>
      <c r="I421" s="16" t="str">
        <f>IFERROR(__xludf.DUMMYFUNCTION("""COMPUTED_VALUE"""),"8GB")</f>
        <v>8GB</v>
      </c>
      <c r="J421" s="18">
        <v>796.3</v>
      </c>
      <c r="K421" s="16">
        <v>4.0</v>
      </c>
      <c r="L421" s="18">
        <v>3185.2</v>
      </c>
      <c r="M421" s="16" t="s">
        <v>556</v>
      </c>
      <c r="N421" s="16" t="s">
        <v>557</v>
      </c>
      <c r="O421" s="16" t="s">
        <v>558</v>
      </c>
    </row>
    <row r="422" ht="15.75" customHeight="1">
      <c r="A422" s="19">
        <v>45613.0</v>
      </c>
      <c r="B422" s="16" t="s">
        <v>75</v>
      </c>
      <c r="C422" s="16" t="str">
        <f t="shared" si="1"/>
        <v>Cali</v>
      </c>
      <c r="D422" s="16" t="str">
        <f t="shared" si="2"/>
        <v>Cali</v>
      </c>
      <c r="E422" s="16" t="str">
        <f t="shared" si="3"/>
        <v>Cali</v>
      </c>
      <c r="F422" s="16" t="s">
        <v>94</v>
      </c>
      <c r="G422" s="17" t="str">
        <f>IFERROR(__xludf.DUMMYFUNCTION("SPLIT(F422:F1421,""-"") "),"Tablet")</f>
        <v>Tablet</v>
      </c>
      <c r="H422" s="16" t="str">
        <f>IFERROR(__xludf.DUMMYFUNCTION("""COMPUTED_VALUE"""),"Mini")</f>
        <v>Mini</v>
      </c>
      <c r="I422" s="16" t="str">
        <f>IFERROR(__xludf.DUMMYFUNCTION("""COMPUTED_VALUE"""),"8GB")</f>
        <v>8GB</v>
      </c>
      <c r="J422" s="18">
        <v>2127.13</v>
      </c>
      <c r="K422" s="16">
        <v>1.0</v>
      </c>
      <c r="L422" s="18">
        <v>2127.13</v>
      </c>
      <c r="M422" s="16" t="s">
        <v>1206</v>
      </c>
      <c r="N422" s="16" t="s">
        <v>1207</v>
      </c>
      <c r="O422" s="16" t="s">
        <v>1208</v>
      </c>
    </row>
    <row r="423" ht="15.75" customHeight="1">
      <c r="A423" s="19">
        <v>45580.0</v>
      </c>
      <c r="B423" s="16" t="s">
        <v>14</v>
      </c>
      <c r="C423" s="16" t="str">
        <f t="shared" si="1"/>
        <v>Bogotá</v>
      </c>
      <c r="D423" s="16" t="str">
        <f t="shared" si="2"/>
        <v>Bogotá</v>
      </c>
      <c r="E423" s="16" t="str">
        <f t="shared" si="3"/>
        <v>Bogotá</v>
      </c>
      <c r="F423" s="16" t="s">
        <v>15</v>
      </c>
      <c r="G423" s="17" t="str">
        <f>IFERROR(__xludf.DUMMYFUNCTION("SPLIT(F423:F1422,""-"") "),"Auriculares")</f>
        <v>Auriculares</v>
      </c>
      <c r="H423" s="16" t="str">
        <f>IFERROR(__xludf.DUMMYFUNCTION("""COMPUTED_VALUE"""),"Con cable")</f>
        <v>Con cable</v>
      </c>
      <c r="I423" s="16" t="str">
        <f>IFERROR(__xludf.DUMMYFUNCTION("""COMPUTED_VALUE"""),"32GB")</f>
        <v>32GB</v>
      </c>
      <c r="J423" s="18">
        <v>2009.75</v>
      </c>
      <c r="K423" s="16">
        <v>2.0</v>
      </c>
      <c r="L423" s="18">
        <v>4019.5</v>
      </c>
      <c r="M423" s="16" t="s">
        <v>276</v>
      </c>
      <c r="N423" s="16" t="s">
        <v>277</v>
      </c>
      <c r="O423" s="16" t="s">
        <v>278</v>
      </c>
    </row>
    <row r="424" ht="15.75" customHeight="1">
      <c r="A424" s="24">
        <v>45603.0</v>
      </c>
      <c r="B424" s="16" t="s">
        <v>9</v>
      </c>
      <c r="C424" s="16" t="str">
        <f t="shared" si="1"/>
        <v>Monterrey</v>
      </c>
      <c r="D424" s="16" t="str">
        <f t="shared" si="2"/>
        <v>Monterrey</v>
      </c>
      <c r="E424" s="16" t="str">
        <f t="shared" si="3"/>
        <v>Monterrey</v>
      </c>
      <c r="F424" s="16" t="s">
        <v>121</v>
      </c>
      <c r="G424" s="17" t="str">
        <f>IFERROR(__xludf.DUMMYFUNCTION("SPLIT(F424:F1423,""-"") "),"Teléfono")</f>
        <v>Teléfono</v>
      </c>
      <c r="H424" s="16" t="str">
        <f>IFERROR(__xludf.DUMMYFUNCTION("""COMPUTED_VALUE"""),"Gama alta")</f>
        <v>Gama alta</v>
      </c>
      <c r="I424" s="16" t="str">
        <f>IFERROR(__xludf.DUMMYFUNCTION("""COMPUTED_VALUE"""),"8GB")</f>
        <v>8GB</v>
      </c>
      <c r="J424" s="18">
        <v>634.44</v>
      </c>
      <c r="K424" s="16">
        <v>4.0</v>
      </c>
      <c r="L424" s="18">
        <v>2537.76</v>
      </c>
      <c r="M424" s="16" t="s">
        <v>882</v>
      </c>
      <c r="N424" s="16" t="s">
        <v>883</v>
      </c>
      <c r="O424" s="16" t="s">
        <v>884</v>
      </c>
    </row>
    <row r="425" ht="15.75" customHeight="1">
      <c r="A425" s="23">
        <v>45545.0</v>
      </c>
      <c r="B425" s="16" t="s">
        <v>14</v>
      </c>
      <c r="C425" s="16" t="str">
        <f t="shared" si="1"/>
        <v>Bogotá</v>
      </c>
      <c r="D425" s="16" t="str">
        <f t="shared" si="2"/>
        <v>Bogotá</v>
      </c>
      <c r="E425" s="16" t="str">
        <f t="shared" si="3"/>
        <v>Bogotá</v>
      </c>
      <c r="F425" s="16" t="s">
        <v>67</v>
      </c>
      <c r="G425" s="17" t="str">
        <f>IFERROR(__xludf.DUMMYFUNCTION("SPLIT(F425:F1424,""-"") "),"Tablet")</f>
        <v>Tablet</v>
      </c>
      <c r="H425" s="16" t="str">
        <f>IFERROR(__xludf.DUMMYFUNCTION("""COMPUTED_VALUE"""),"Estándar")</f>
        <v>Estándar</v>
      </c>
      <c r="I425" s="16" t="str">
        <f>IFERROR(__xludf.DUMMYFUNCTION("""COMPUTED_VALUE"""),"4GB")</f>
        <v>4GB</v>
      </c>
      <c r="J425" s="18">
        <v>2452.44</v>
      </c>
      <c r="K425" s="16">
        <v>3.0</v>
      </c>
      <c r="L425" s="18">
        <v>7357.32</v>
      </c>
      <c r="M425" s="16" t="s">
        <v>2653</v>
      </c>
      <c r="N425" s="16" t="s">
        <v>2654</v>
      </c>
      <c r="O425" s="16" t="s">
        <v>2655</v>
      </c>
    </row>
    <row r="426" ht="15.75" customHeight="1">
      <c r="A426" s="23">
        <v>45485.0</v>
      </c>
      <c r="B426" s="16" t="s">
        <v>14</v>
      </c>
      <c r="C426" s="16" t="str">
        <f t="shared" si="1"/>
        <v>Bogotá</v>
      </c>
      <c r="D426" s="16" t="str">
        <f t="shared" si="2"/>
        <v>Bogotá</v>
      </c>
      <c r="E426" s="16" t="str">
        <f t="shared" si="3"/>
        <v>Bogotá</v>
      </c>
      <c r="F426" s="16" t="s">
        <v>139</v>
      </c>
      <c r="G426" s="17" t="str">
        <f>IFERROR(__xludf.DUMMYFUNCTION("SPLIT(F426:F1425,""-"") "),"Auriculares")</f>
        <v>Auriculares</v>
      </c>
      <c r="H426" s="16" t="str">
        <f>IFERROR(__xludf.DUMMYFUNCTION("""COMPUTED_VALUE"""),"Con cable")</f>
        <v>Con cable</v>
      </c>
      <c r="I426" s="16" t="str">
        <f>IFERROR(__xludf.DUMMYFUNCTION("""COMPUTED_VALUE"""),"16GB")</f>
        <v>16GB</v>
      </c>
      <c r="J426" s="18">
        <v>460.39</v>
      </c>
      <c r="K426" s="16">
        <v>5.0</v>
      </c>
      <c r="L426" s="18">
        <v>2301.95</v>
      </c>
      <c r="M426" s="16" t="s">
        <v>2656</v>
      </c>
      <c r="N426" s="16" t="s">
        <v>2657</v>
      </c>
      <c r="O426" s="16" t="s">
        <v>2658</v>
      </c>
    </row>
    <row r="427" ht="15.75" customHeight="1">
      <c r="A427" s="23">
        <v>45545.0</v>
      </c>
      <c r="B427" s="16" t="s">
        <v>75</v>
      </c>
      <c r="C427" s="16" t="str">
        <f t="shared" si="1"/>
        <v>Cali</v>
      </c>
      <c r="D427" s="16" t="str">
        <f t="shared" si="2"/>
        <v>Cali</v>
      </c>
      <c r="E427" s="16" t="str">
        <f t="shared" si="3"/>
        <v>Cali</v>
      </c>
      <c r="F427" s="16" t="s">
        <v>10</v>
      </c>
      <c r="G427" s="17" t="str">
        <f>IFERROR(__xludf.DUMMYFUNCTION("SPLIT(F427:F1426,""-"") "),"Tablet")</f>
        <v>Tablet</v>
      </c>
      <c r="H427" s="16" t="str">
        <f>IFERROR(__xludf.DUMMYFUNCTION("""COMPUTED_VALUE"""),"Estándar")</f>
        <v>Estándar</v>
      </c>
      <c r="I427" s="16" t="str">
        <f>IFERROR(__xludf.DUMMYFUNCTION("""COMPUTED_VALUE"""),"8GB")</f>
        <v>8GB</v>
      </c>
      <c r="J427" s="22">
        <f>(L427/K427) </f>
        <v>265.64</v>
      </c>
      <c r="K427" s="16">
        <v>3.0</v>
      </c>
      <c r="L427" s="18">
        <v>796.92</v>
      </c>
      <c r="M427" s="16" t="s">
        <v>2659</v>
      </c>
      <c r="N427" s="16" t="s">
        <v>2660</v>
      </c>
      <c r="O427" s="16" t="s">
        <v>2661</v>
      </c>
    </row>
    <row r="428" ht="15.75" customHeight="1">
      <c r="A428" s="19">
        <v>45644.0</v>
      </c>
      <c r="B428" s="16" t="s">
        <v>35</v>
      </c>
      <c r="C428" s="16" t="str">
        <f t="shared" si="1"/>
        <v>Medellín</v>
      </c>
      <c r="D428" s="16" t="str">
        <f t="shared" si="2"/>
        <v>Medellín</v>
      </c>
      <c r="E428" s="16" t="str">
        <f t="shared" si="3"/>
        <v>Medellín</v>
      </c>
      <c r="F428" s="16" t="s">
        <v>71</v>
      </c>
      <c r="G428" s="17" t="str">
        <f>IFERROR(__xludf.DUMMYFUNCTION("SPLIT(F428:F1427,""-"") "),"Auriculares")</f>
        <v>Auriculares</v>
      </c>
      <c r="H428" s="16" t="str">
        <f>IFERROR(__xludf.DUMMYFUNCTION("""COMPUTED_VALUE"""),"Bluetooth")</f>
        <v>Bluetooth</v>
      </c>
      <c r="I428" s="16" t="str">
        <f>IFERROR(__xludf.DUMMYFUNCTION("""COMPUTED_VALUE"""),"16GB")</f>
        <v>16GB</v>
      </c>
      <c r="J428" s="18">
        <v>564.58</v>
      </c>
      <c r="K428" s="16">
        <v>4.0</v>
      </c>
      <c r="L428" s="18">
        <v>2258.32</v>
      </c>
      <c r="M428" s="16" t="s">
        <v>1948</v>
      </c>
      <c r="N428" s="16" t="s">
        <v>1949</v>
      </c>
      <c r="O428" s="16" t="s">
        <v>1950</v>
      </c>
    </row>
    <row r="429" ht="15.75" customHeight="1">
      <c r="A429" s="23">
        <v>45361.0</v>
      </c>
      <c r="B429" s="16" t="s">
        <v>35</v>
      </c>
      <c r="C429" s="16" t="str">
        <f t="shared" si="1"/>
        <v>Medellín</v>
      </c>
      <c r="D429" s="16" t="str">
        <f t="shared" si="2"/>
        <v>Medellín</v>
      </c>
      <c r="E429" s="16" t="str">
        <f t="shared" si="3"/>
        <v>Medellín</v>
      </c>
      <c r="F429" s="16" t="s">
        <v>399</v>
      </c>
      <c r="G429" s="17" t="str">
        <f>IFERROR(__xludf.DUMMYFUNCTION("SPLIT(F429:F1428,""-"") "),"Laptop")</f>
        <v>Laptop</v>
      </c>
      <c r="H429" s="16" t="str">
        <f>IFERROR(__xludf.DUMMYFUNCTION("""COMPUTED_VALUE"""),"Gaming")</f>
        <v>Gaming</v>
      </c>
      <c r="I429" s="16" t="str">
        <f>IFERROR(__xludf.DUMMYFUNCTION("""COMPUTED_VALUE"""),"4GB")</f>
        <v>4GB</v>
      </c>
      <c r="J429" s="18">
        <v>1265.56</v>
      </c>
      <c r="K429" s="16">
        <v>5.0</v>
      </c>
      <c r="L429" s="18">
        <v>6327.8</v>
      </c>
      <c r="M429" s="16" t="s">
        <v>2662</v>
      </c>
      <c r="N429" s="16" t="s">
        <v>2663</v>
      </c>
      <c r="O429" s="16" t="s">
        <v>2664</v>
      </c>
    </row>
    <row r="430" ht="15.75" customHeight="1">
      <c r="A430" s="23">
        <v>45636.0</v>
      </c>
      <c r="B430" s="16" t="s">
        <v>35</v>
      </c>
      <c r="C430" s="16" t="str">
        <f t="shared" si="1"/>
        <v>Medellín</v>
      </c>
      <c r="D430" s="16" t="str">
        <f t="shared" si="2"/>
        <v>Medellín</v>
      </c>
      <c r="E430" s="16" t="str">
        <f t="shared" si="3"/>
        <v>Medellín</v>
      </c>
      <c r="F430" s="16" t="s">
        <v>54</v>
      </c>
      <c r="G430" s="17" t="str">
        <f>IFERROR(__xludf.DUMMYFUNCTION("SPLIT(F430:F1429,""-"") "),"Laptop")</f>
        <v>Laptop</v>
      </c>
      <c r="H430" s="16" t="str">
        <f>IFERROR(__xludf.DUMMYFUNCTION("""COMPUTED_VALUE"""),"Oficina")</f>
        <v>Oficina</v>
      </c>
      <c r="I430" s="16" t="str">
        <f>IFERROR(__xludf.DUMMYFUNCTION("""COMPUTED_VALUE"""),"8GB")</f>
        <v>8GB</v>
      </c>
      <c r="J430" s="18">
        <v>85.19</v>
      </c>
      <c r="K430" s="16">
        <v>1.0</v>
      </c>
      <c r="L430" s="18">
        <v>85.19</v>
      </c>
      <c r="M430" s="16" t="s">
        <v>1736</v>
      </c>
      <c r="N430" s="16" t="s">
        <v>1737</v>
      </c>
      <c r="O430" s="16" t="s">
        <v>1738</v>
      </c>
    </row>
    <row r="431" ht="15.75" customHeight="1">
      <c r="A431" s="19">
        <v>45590.0</v>
      </c>
      <c r="B431" s="16" t="s">
        <v>2359</v>
      </c>
      <c r="C431" s="16" t="str">
        <f t="shared" si="1"/>
        <v>Ciudad De M√©Xico</v>
      </c>
      <c r="D431" s="16" t="str">
        <f t="shared" si="2"/>
        <v>Ciudad De M√©Xico</v>
      </c>
      <c r="E431" s="16" t="str">
        <f t="shared" si="3"/>
        <v>Ciudad De MéXico</v>
      </c>
      <c r="F431" s="16" t="s">
        <v>50</v>
      </c>
      <c r="G431" s="17" t="str">
        <f>IFERROR(__xludf.DUMMYFUNCTION("SPLIT(F431:F1430,""-"") "),"Tablet")</f>
        <v>Tablet</v>
      </c>
      <c r="H431" s="16" t="str">
        <f>IFERROR(__xludf.DUMMYFUNCTION("""COMPUTED_VALUE"""),"Estándar")</f>
        <v>Estándar</v>
      </c>
      <c r="I431" s="16" t="str">
        <f>IFERROR(__xludf.DUMMYFUNCTION("""COMPUTED_VALUE"""),"32GB")</f>
        <v>32GB</v>
      </c>
      <c r="J431" s="18">
        <v>1468.39</v>
      </c>
      <c r="K431" s="16">
        <v>1.0</v>
      </c>
      <c r="L431" s="18">
        <v>1468.39</v>
      </c>
      <c r="M431" s="16" t="s">
        <v>626</v>
      </c>
      <c r="N431" s="16" t="s">
        <v>627</v>
      </c>
      <c r="O431" s="16" t="s">
        <v>628</v>
      </c>
    </row>
    <row r="432" ht="15.75" customHeight="1">
      <c r="A432" s="23">
        <v>45484.0</v>
      </c>
      <c r="B432" s="16" t="s">
        <v>14</v>
      </c>
      <c r="C432" s="16" t="str">
        <f t="shared" si="1"/>
        <v>Bogotá</v>
      </c>
      <c r="D432" s="16" t="str">
        <f t="shared" si="2"/>
        <v>Bogotá</v>
      </c>
      <c r="E432" s="16" t="str">
        <f t="shared" si="3"/>
        <v>Bogotá</v>
      </c>
      <c r="F432" s="16" t="s">
        <v>81</v>
      </c>
      <c r="G432" s="17" t="str">
        <f>IFERROR(__xludf.DUMMYFUNCTION("SPLIT(F432:F1431,""-"") "),"Laptop")</f>
        <v>Laptop</v>
      </c>
      <c r="H432" s="16" t="str">
        <f>IFERROR(__xludf.DUMMYFUNCTION("""COMPUTED_VALUE"""),"Oficina")</f>
        <v>Oficina</v>
      </c>
      <c r="I432" s="16" t="str">
        <f>IFERROR(__xludf.DUMMYFUNCTION("""COMPUTED_VALUE"""),"16GB")</f>
        <v>16GB</v>
      </c>
      <c r="J432" s="18">
        <v>1450.82</v>
      </c>
      <c r="K432" s="16">
        <v>1.0</v>
      </c>
      <c r="L432" s="18">
        <v>1450.82</v>
      </c>
      <c r="M432" s="16" t="s">
        <v>2665</v>
      </c>
      <c r="N432" s="16" t="s">
        <v>2666</v>
      </c>
      <c r="O432" s="16" t="s">
        <v>2667</v>
      </c>
    </row>
    <row r="433" ht="15.75" customHeight="1">
      <c r="A433" s="19">
        <v>45594.0</v>
      </c>
      <c r="B433" s="16" t="s">
        <v>58</v>
      </c>
      <c r="C433" s="16" t="str">
        <f t="shared" si="1"/>
        <v>Guadalajara</v>
      </c>
      <c r="D433" s="16" t="str">
        <f t="shared" si="2"/>
        <v>Guadalajara</v>
      </c>
      <c r="E433" s="16" t="str">
        <f t="shared" si="3"/>
        <v>Guadalajara</v>
      </c>
      <c r="F433" s="16" t="s">
        <v>36</v>
      </c>
      <c r="G433" s="17" t="str">
        <f>IFERROR(__xludf.DUMMYFUNCTION("SPLIT(F433:F1432,""-"") "),"Tablet")</f>
        <v>Tablet</v>
      </c>
      <c r="H433" s="16" t="str">
        <f>IFERROR(__xludf.DUMMYFUNCTION("""COMPUTED_VALUE"""),"Pro")</f>
        <v>Pro</v>
      </c>
      <c r="I433" s="16" t="str">
        <f>IFERROR(__xludf.DUMMYFUNCTION("""COMPUTED_VALUE"""),"4GB")</f>
        <v>4GB</v>
      </c>
      <c r="J433" s="18">
        <v>429.21</v>
      </c>
      <c r="K433" s="16">
        <v>5.0</v>
      </c>
      <c r="L433" s="18">
        <v>2146.05</v>
      </c>
      <c r="M433" s="16" t="s">
        <v>742</v>
      </c>
      <c r="N433" s="16" t="s">
        <v>743</v>
      </c>
      <c r="O433" s="16" t="s">
        <v>744</v>
      </c>
    </row>
    <row r="434" ht="15.75" customHeight="1">
      <c r="A434" s="23">
        <v>45576.0</v>
      </c>
      <c r="B434" s="16" t="s">
        <v>116</v>
      </c>
      <c r="C434" s="16" t="str">
        <f t="shared" si="1"/>
        <v>Guadalajara</v>
      </c>
      <c r="D434" s="16" t="str">
        <f t="shared" si="2"/>
        <v>Guadalajara</v>
      </c>
      <c r="E434" s="16" t="str">
        <f t="shared" si="3"/>
        <v>Guadalajara</v>
      </c>
      <c r="F434" s="16" t="s">
        <v>117</v>
      </c>
      <c r="G434" s="17" t="str">
        <f>IFERROR(__xludf.DUMMYFUNCTION("SPLIT(F434:F1433,""-"") "),"Teléfono")</f>
        <v>Teléfono</v>
      </c>
      <c r="H434" s="16" t="str">
        <f>IFERROR(__xludf.DUMMYFUNCTION("""COMPUTED_VALUE"""),"Gama baja")</f>
        <v>Gama baja</v>
      </c>
      <c r="I434" s="16" t="str">
        <f>IFERROR(__xludf.DUMMYFUNCTION("""COMPUTED_VALUE"""),"16GB")</f>
        <v>16GB</v>
      </c>
      <c r="J434" s="18">
        <v>724.28</v>
      </c>
      <c r="K434" s="16">
        <v>3.0</v>
      </c>
      <c r="L434" s="18">
        <v>2172.84</v>
      </c>
      <c r="M434" s="16" t="s">
        <v>118</v>
      </c>
      <c r="N434" s="16" t="s">
        <v>119</v>
      </c>
      <c r="O434" s="16" t="s">
        <v>120</v>
      </c>
    </row>
    <row r="435" ht="15.75" customHeight="1">
      <c r="A435" s="19">
        <v>45624.0</v>
      </c>
      <c r="B435" s="16" t="s">
        <v>9</v>
      </c>
      <c r="C435" s="16" t="str">
        <f t="shared" si="1"/>
        <v>Monterrey</v>
      </c>
      <c r="D435" s="16" t="str">
        <f t="shared" si="2"/>
        <v>Monterrey</v>
      </c>
      <c r="E435" s="16" t="str">
        <f t="shared" si="3"/>
        <v>Monterrey</v>
      </c>
      <c r="F435" s="16" t="s">
        <v>167</v>
      </c>
      <c r="G435" s="17" t="str">
        <f>IFERROR(__xludf.DUMMYFUNCTION("SPLIT(F435:F1434,""-"") "),"Auriculares")</f>
        <v>Auriculares</v>
      </c>
      <c r="H435" s="16" t="str">
        <f>IFERROR(__xludf.DUMMYFUNCTION("""COMPUTED_VALUE"""),"Bluetooth")</f>
        <v>Bluetooth</v>
      </c>
      <c r="I435" s="16" t="str">
        <f>IFERROR(__xludf.DUMMYFUNCTION("""COMPUTED_VALUE"""),"32GB")</f>
        <v>32GB</v>
      </c>
      <c r="J435" s="18">
        <v>1654.16</v>
      </c>
      <c r="K435" s="16">
        <v>1.0</v>
      </c>
      <c r="L435" s="18">
        <v>1654.16</v>
      </c>
      <c r="M435" s="16" t="s">
        <v>1571</v>
      </c>
      <c r="N435" s="16" t="s">
        <v>1572</v>
      </c>
      <c r="O435" s="16" t="s">
        <v>1573</v>
      </c>
    </row>
    <row r="436" ht="15.75" customHeight="1">
      <c r="A436" s="19">
        <v>45593.0</v>
      </c>
      <c r="B436" s="16" t="s">
        <v>75</v>
      </c>
      <c r="C436" s="16" t="str">
        <f t="shared" si="1"/>
        <v>Cali</v>
      </c>
      <c r="D436" s="16" t="str">
        <f t="shared" si="2"/>
        <v>Cali</v>
      </c>
      <c r="E436" s="16" t="str">
        <f t="shared" si="3"/>
        <v>Cali</v>
      </c>
      <c r="F436" s="16" t="s">
        <v>163</v>
      </c>
      <c r="G436" s="17" t="str">
        <f>IFERROR(__xludf.DUMMYFUNCTION("SPLIT(F436:F1435,""-"") "),"Laptop")</f>
        <v>Laptop</v>
      </c>
      <c r="H436" s="16" t="str">
        <f>IFERROR(__xludf.DUMMYFUNCTION("""COMPUTED_VALUE"""),"Oficina")</f>
        <v>Oficina</v>
      </c>
      <c r="I436" s="16" t="str">
        <f>IFERROR(__xludf.DUMMYFUNCTION("""COMPUTED_VALUE"""),"32GB")</f>
        <v>32GB</v>
      </c>
      <c r="J436" s="18">
        <v>1834.12</v>
      </c>
      <c r="K436" s="16">
        <v>1.0</v>
      </c>
      <c r="L436" s="18">
        <v>1834.12</v>
      </c>
      <c r="M436" s="16" t="s">
        <v>703</v>
      </c>
      <c r="N436" s="16" t="s">
        <v>704</v>
      </c>
      <c r="O436" s="16" t="s">
        <v>705</v>
      </c>
    </row>
    <row r="437" ht="15.75" customHeight="1">
      <c r="A437" s="23">
        <v>45546.0</v>
      </c>
      <c r="B437" s="16" t="s">
        <v>14</v>
      </c>
      <c r="C437" s="16" t="str">
        <f t="shared" si="1"/>
        <v>Bogotá</v>
      </c>
      <c r="D437" s="16" t="str">
        <f t="shared" si="2"/>
        <v>Bogotá</v>
      </c>
      <c r="E437" s="16" t="str">
        <f t="shared" si="3"/>
        <v>Bogotá</v>
      </c>
      <c r="F437" s="16" t="s">
        <v>10</v>
      </c>
      <c r="G437" s="17" t="str">
        <f>IFERROR(__xludf.DUMMYFUNCTION("SPLIT(F437:F1436,""-"") "),"Tablet")</f>
        <v>Tablet</v>
      </c>
      <c r="H437" s="16" t="str">
        <f>IFERROR(__xludf.DUMMYFUNCTION("""COMPUTED_VALUE"""),"Estándar")</f>
        <v>Estándar</v>
      </c>
      <c r="I437" s="16" t="str">
        <f>IFERROR(__xludf.DUMMYFUNCTION("""COMPUTED_VALUE"""),"8GB")</f>
        <v>8GB</v>
      </c>
      <c r="J437" s="18">
        <v>2148.04</v>
      </c>
      <c r="K437" s="16">
        <v>1.0</v>
      </c>
      <c r="L437" s="18">
        <v>2148.04</v>
      </c>
      <c r="M437" s="16" t="s">
        <v>2668</v>
      </c>
      <c r="N437" s="16" t="s">
        <v>2669</v>
      </c>
      <c r="O437" s="16" t="s">
        <v>2670</v>
      </c>
    </row>
    <row r="438" ht="15.75" customHeight="1">
      <c r="A438" s="23">
        <v>45516.0</v>
      </c>
      <c r="B438" s="16" t="s">
        <v>58</v>
      </c>
      <c r="C438" s="16" t="str">
        <f t="shared" si="1"/>
        <v>Guadalajara</v>
      </c>
      <c r="D438" s="16" t="str">
        <f t="shared" si="2"/>
        <v>Guadalajara</v>
      </c>
      <c r="E438" s="16" t="str">
        <f t="shared" si="3"/>
        <v>Guadalajara</v>
      </c>
      <c r="F438" s="16" t="s">
        <v>67</v>
      </c>
      <c r="G438" s="17" t="str">
        <f>IFERROR(__xludf.DUMMYFUNCTION("SPLIT(F438:F1437,""-"") "),"Tablet")</f>
        <v>Tablet</v>
      </c>
      <c r="H438" s="16" t="str">
        <f>IFERROR(__xludf.DUMMYFUNCTION("""COMPUTED_VALUE"""),"Estándar")</f>
        <v>Estándar</v>
      </c>
      <c r="I438" s="16" t="str">
        <f>IFERROR(__xludf.DUMMYFUNCTION("""COMPUTED_VALUE"""),"4GB")</f>
        <v>4GB</v>
      </c>
      <c r="J438" s="18">
        <v>1325.42</v>
      </c>
      <c r="K438" s="16">
        <v>3.0</v>
      </c>
      <c r="L438" s="18">
        <v>3976.26</v>
      </c>
      <c r="M438" s="16" t="s">
        <v>2671</v>
      </c>
      <c r="N438" s="16" t="s">
        <v>2672</v>
      </c>
      <c r="O438" s="16" t="s">
        <v>2673</v>
      </c>
    </row>
    <row r="439" ht="15.75" customHeight="1">
      <c r="A439" s="23">
        <v>45332.0</v>
      </c>
      <c r="B439" s="16" t="s">
        <v>58</v>
      </c>
      <c r="C439" s="16" t="str">
        <f t="shared" si="1"/>
        <v>Guadalajara</v>
      </c>
      <c r="D439" s="16" t="str">
        <f t="shared" si="2"/>
        <v>Guadalajara</v>
      </c>
      <c r="E439" s="16" t="str">
        <f t="shared" si="3"/>
        <v>Guadalajara</v>
      </c>
      <c r="F439" s="16" t="s">
        <v>71</v>
      </c>
      <c r="G439" s="17" t="str">
        <f>IFERROR(__xludf.DUMMYFUNCTION("SPLIT(F439:F1438,""-"") "),"Auriculares")</f>
        <v>Auriculares</v>
      </c>
      <c r="H439" s="16" t="str">
        <f>IFERROR(__xludf.DUMMYFUNCTION("""COMPUTED_VALUE"""),"Bluetooth")</f>
        <v>Bluetooth</v>
      </c>
      <c r="I439" s="16" t="str">
        <f>IFERROR(__xludf.DUMMYFUNCTION("""COMPUTED_VALUE"""),"16GB")</f>
        <v>16GB</v>
      </c>
      <c r="J439" s="18">
        <v>1148.65</v>
      </c>
      <c r="K439" s="16">
        <v>2.0</v>
      </c>
      <c r="L439" s="18">
        <v>2297.3</v>
      </c>
      <c r="M439" s="16" t="s">
        <v>2674</v>
      </c>
      <c r="N439" s="16" t="s">
        <v>2675</v>
      </c>
      <c r="O439" s="16" t="s">
        <v>2676</v>
      </c>
    </row>
    <row r="440" ht="15.75" customHeight="1">
      <c r="A440" s="19">
        <v>45652.0</v>
      </c>
      <c r="B440" s="16" t="s">
        <v>9</v>
      </c>
      <c r="C440" s="16" t="str">
        <f t="shared" si="1"/>
        <v>Monterrey</v>
      </c>
      <c r="D440" s="16" t="str">
        <f t="shared" si="2"/>
        <v>Monterrey</v>
      </c>
      <c r="E440" s="16" t="str">
        <f t="shared" si="3"/>
        <v>Monterrey</v>
      </c>
      <c r="F440" s="16" t="s">
        <v>373</v>
      </c>
      <c r="G440" s="17" t="str">
        <f>IFERROR(__xludf.DUMMYFUNCTION("SPLIT(F440:F1439,""-"") "),"Teléfono")</f>
        <v>Teléfono</v>
      </c>
      <c r="H440" s="16" t="str">
        <f>IFERROR(__xludf.DUMMYFUNCTION("""COMPUTED_VALUE"""),"Gama media")</f>
        <v>Gama media</v>
      </c>
      <c r="I440" s="16" t="str">
        <f>IFERROR(__xludf.DUMMYFUNCTION("""COMPUTED_VALUE"""),"16GB")</f>
        <v>16GB</v>
      </c>
      <c r="J440" s="18">
        <v>932.02</v>
      </c>
      <c r="K440" s="16">
        <v>4.0</v>
      </c>
      <c r="L440" s="18">
        <v>3728.08</v>
      </c>
      <c r="M440" s="16" t="s">
        <v>2201</v>
      </c>
      <c r="N440" s="16" t="s">
        <v>2202</v>
      </c>
      <c r="O440" s="16" t="s">
        <v>2203</v>
      </c>
    </row>
    <row r="441" ht="15.75" customHeight="1">
      <c r="A441" s="23">
        <v>45394.0</v>
      </c>
      <c r="B441" s="16" t="s">
        <v>2359</v>
      </c>
      <c r="C441" s="16" t="str">
        <f t="shared" si="1"/>
        <v>Ciudad De M√©Xico</v>
      </c>
      <c r="D441" s="16" t="str">
        <f t="shared" si="2"/>
        <v>Ciudad De M√©Xico</v>
      </c>
      <c r="E441" s="16" t="str">
        <f t="shared" si="3"/>
        <v>Ciudad De MéXico</v>
      </c>
      <c r="F441" s="16" t="s">
        <v>31</v>
      </c>
      <c r="G441" s="17" t="str">
        <f>IFERROR(__xludf.DUMMYFUNCTION("SPLIT(F441:F1440,""-"") "),"Teléfono")</f>
        <v>Teléfono</v>
      </c>
      <c r="H441" s="16" t="str">
        <f>IFERROR(__xludf.DUMMYFUNCTION("""COMPUTED_VALUE"""),"Gama alta")</f>
        <v>Gama alta</v>
      </c>
      <c r="I441" s="16" t="str">
        <f>IFERROR(__xludf.DUMMYFUNCTION("""COMPUTED_VALUE"""),"32GB")</f>
        <v>32GB</v>
      </c>
      <c r="J441" s="18">
        <v>1806.33</v>
      </c>
      <c r="K441" s="16">
        <v>1.0</v>
      </c>
      <c r="L441" s="18">
        <v>1806.33</v>
      </c>
      <c r="M441" s="16" t="s">
        <v>2677</v>
      </c>
      <c r="N441" s="16" t="s">
        <v>2678</v>
      </c>
      <c r="O441" s="16" t="s">
        <v>2679</v>
      </c>
    </row>
    <row r="442" ht="15.75" customHeight="1">
      <c r="A442" s="23">
        <v>45332.0</v>
      </c>
      <c r="B442" s="16" t="s">
        <v>35</v>
      </c>
      <c r="C442" s="16" t="str">
        <f t="shared" si="1"/>
        <v>Medellín</v>
      </c>
      <c r="D442" s="16" t="str">
        <f t="shared" si="2"/>
        <v>Medellín</v>
      </c>
      <c r="E442" s="16" t="str">
        <f t="shared" si="3"/>
        <v>Medellín</v>
      </c>
      <c r="F442" s="16" t="s">
        <v>319</v>
      </c>
      <c r="G442" s="17" t="str">
        <f>IFERROR(__xludf.DUMMYFUNCTION("SPLIT(F442:F1441,""-"") "),"Tablet")</f>
        <v>Tablet</v>
      </c>
      <c r="H442" s="16" t="str">
        <f>IFERROR(__xludf.DUMMYFUNCTION("""COMPUTED_VALUE"""),"Pro")</f>
        <v>Pro</v>
      </c>
      <c r="I442" s="16" t="str">
        <f>IFERROR(__xludf.DUMMYFUNCTION("""COMPUTED_VALUE"""),"32GB")</f>
        <v>32GB</v>
      </c>
      <c r="J442" s="18">
        <v>2187.34</v>
      </c>
      <c r="K442" s="16">
        <v>1.0</v>
      </c>
      <c r="L442" s="18">
        <v>2187.34</v>
      </c>
      <c r="M442" s="16" t="s">
        <v>2680</v>
      </c>
      <c r="N442" s="16" t="s">
        <v>2681</v>
      </c>
      <c r="O442" s="16" t="s">
        <v>2682</v>
      </c>
    </row>
    <row r="443" ht="15.75" customHeight="1">
      <c r="A443" s="23">
        <v>45576.0</v>
      </c>
      <c r="B443" s="16" t="s">
        <v>75</v>
      </c>
      <c r="C443" s="16" t="str">
        <f t="shared" si="1"/>
        <v>Cali</v>
      </c>
      <c r="D443" s="16" t="str">
        <f t="shared" si="2"/>
        <v>Cali</v>
      </c>
      <c r="E443" s="16" t="str">
        <f t="shared" si="3"/>
        <v>Cali</v>
      </c>
      <c r="F443" s="16" t="s">
        <v>121</v>
      </c>
      <c r="G443" s="17" t="str">
        <f>IFERROR(__xludf.DUMMYFUNCTION("SPLIT(F443:F1442,""-"") "),"Teléfono")</f>
        <v>Teléfono</v>
      </c>
      <c r="H443" s="16" t="str">
        <f>IFERROR(__xludf.DUMMYFUNCTION("""COMPUTED_VALUE"""),"Gama alta")</f>
        <v>Gama alta</v>
      </c>
      <c r="I443" s="16" t="str">
        <f>IFERROR(__xludf.DUMMYFUNCTION("""COMPUTED_VALUE"""),"8GB")</f>
        <v>8GB</v>
      </c>
      <c r="J443" s="18">
        <v>1859.58</v>
      </c>
      <c r="K443" s="16">
        <v>3.0</v>
      </c>
      <c r="L443" s="18">
        <v>5578.74</v>
      </c>
      <c r="M443" s="16" t="s">
        <v>122</v>
      </c>
      <c r="N443" s="16" t="s">
        <v>123</v>
      </c>
      <c r="O443" s="16" t="s">
        <v>124</v>
      </c>
    </row>
    <row r="444" ht="15.75" customHeight="1">
      <c r="A444" s="19">
        <v>45650.0</v>
      </c>
      <c r="B444" s="16" t="s">
        <v>14</v>
      </c>
      <c r="C444" s="16" t="str">
        <f t="shared" si="1"/>
        <v>Bogotá</v>
      </c>
      <c r="D444" s="16" t="str">
        <f t="shared" si="2"/>
        <v>Bogotá</v>
      </c>
      <c r="E444" s="16" t="str">
        <f t="shared" si="3"/>
        <v>Bogotá</v>
      </c>
      <c r="F444" s="16" t="s">
        <v>50</v>
      </c>
      <c r="G444" s="17" t="str">
        <f>IFERROR(__xludf.DUMMYFUNCTION("SPLIT(F444:F1443,""-"") "),"Tablet")</f>
        <v>Tablet</v>
      </c>
      <c r="H444" s="16" t="str">
        <f>IFERROR(__xludf.DUMMYFUNCTION("""COMPUTED_VALUE"""),"Estándar")</f>
        <v>Estándar</v>
      </c>
      <c r="I444" s="16" t="str">
        <f>IFERROR(__xludf.DUMMYFUNCTION("""COMPUTED_VALUE"""),"32GB")</f>
        <v>32GB</v>
      </c>
      <c r="J444" s="18">
        <v>306.11</v>
      </c>
      <c r="K444" s="16">
        <v>2.0</v>
      </c>
      <c r="L444" s="18">
        <v>612.22</v>
      </c>
      <c r="M444" s="16" t="s">
        <v>2141</v>
      </c>
      <c r="N444" s="16" t="s">
        <v>2142</v>
      </c>
      <c r="O444" s="16" t="s">
        <v>2143</v>
      </c>
    </row>
    <row r="445" ht="15.75" customHeight="1">
      <c r="A445" s="23">
        <v>45515.0</v>
      </c>
      <c r="B445" s="16" t="s">
        <v>35</v>
      </c>
      <c r="C445" s="16" t="str">
        <f t="shared" si="1"/>
        <v>Medellín</v>
      </c>
      <c r="D445" s="16" t="str">
        <f t="shared" si="2"/>
        <v>Medellín</v>
      </c>
      <c r="E445" s="16" t="str">
        <f t="shared" si="3"/>
        <v>Medellín</v>
      </c>
      <c r="F445" s="16" t="s">
        <v>272</v>
      </c>
      <c r="G445" s="17" t="str">
        <f>IFERROR(__xludf.DUMMYFUNCTION("SPLIT(F445:F1444,""-"") "),"Teléfono")</f>
        <v>Teléfono</v>
      </c>
      <c r="H445" s="16" t="str">
        <f>IFERROR(__xludf.DUMMYFUNCTION("""COMPUTED_VALUE"""),"Gama baja")</f>
        <v>Gama baja</v>
      </c>
      <c r="I445" s="16" t="str">
        <f>IFERROR(__xludf.DUMMYFUNCTION("""COMPUTED_VALUE"""),"32GB")</f>
        <v>32GB</v>
      </c>
      <c r="J445" s="18">
        <v>233.33</v>
      </c>
      <c r="K445" s="16">
        <v>5.0</v>
      </c>
      <c r="L445" s="18">
        <v>1166.65</v>
      </c>
      <c r="M445" s="16" t="s">
        <v>2683</v>
      </c>
      <c r="N445" s="16" t="s">
        <v>2684</v>
      </c>
      <c r="O445" s="16" t="s">
        <v>2685</v>
      </c>
    </row>
    <row r="446" ht="15.75" customHeight="1">
      <c r="A446" s="23">
        <v>45545.0</v>
      </c>
      <c r="B446" s="16" t="s">
        <v>2359</v>
      </c>
      <c r="C446" s="16" t="str">
        <f t="shared" si="1"/>
        <v>Ciudad De M√©Xico</v>
      </c>
      <c r="D446" s="16" t="str">
        <f t="shared" si="2"/>
        <v>Ciudad De M√©Xico</v>
      </c>
      <c r="E446" s="16" t="str">
        <f t="shared" si="3"/>
        <v>Ciudad De MéXico</v>
      </c>
      <c r="F446" s="16" t="s">
        <v>259</v>
      </c>
      <c r="G446" s="17" t="str">
        <f>IFERROR(__xludf.DUMMYFUNCTION("SPLIT(F446:F1445,""-"") "),"Auriculares")</f>
        <v>Auriculares</v>
      </c>
      <c r="H446" s="16" t="str">
        <f>IFERROR(__xludf.DUMMYFUNCTION("""COMPUTED_VALUE"""),"Cancelación de ruido")</f>
        <v>Cancelación de ruido</v>
      </c>
      <c r="I446" s="16" t="str">
        <f>IFERROR(__xludf.DUMMYFUNCTION("""COMPUTED_VALUE"""),"8GB")</f>
        <v>8GB</v>
      </c>
      <c r="J446" s="18">
        <v>1429.62</v>
      </c>
      <c r="K446" s="16">
        <v>2.0</v>
      </c>
      <c r="L446" s="18">
        <v>2859.24</v>
      </c>
      <c r="M446" s="16" t="s">
        <v>2686</v>
      </c>
      <c r="N446" s="16" t="s">
        <v>2687</v>
      </c>
      <c r="O446" s="21" t="s">
        <v>2688</v>
      </c>
    </row>
    <row r="447" ht="15.75" customHeight="1">
      <c r="A447" s="23">
        <v>45483.0</v>
      </c>
      <c r="B447" s="16" t="s">
        <v>58</v>
      </c>
      <c r="C447" s="16" t="str">
        <f t="shared" si="1"/>
        <v>Guadalajara</v>
      </c>
      <c r="D447" s="16" t="str">
        <f t="shared" si="2"/>
        <v>Guadalajara</v>
      </c>
      <c r="E447" s="16" t="str">
        <f t="shared" si="3"/>
        <v>Guadalajara</v>
      </c>
      <c r="F447" s="16" t="s">
        <v>90</v>
      </c>
      <c r="G447" s="17" t="str">
        <f>IFERROR(__xludf.DUMMYFUNCTION("SPLIT(F447:F1446,""-"") "),"Laptop")</f>
        <v>Laptop</v>
      </c>
      <c r="H447" s="16" t="str">
        <f>IFERROR(__xludf.DUMMYFUNCTION("""COMPUTED_VALUE"""),"Gaming")</f>
        <v>Gaming</v>
      </c>
      <c r="I447" s="16" t="str">
        <f>IFERROR(__xludf.DUMMYFUNCTION("""COMPUTED_VALUE"""),"32GB")</f>
        <v>32GB</v>
      </c>
      <c r="J447" s="18">
        <v>1788.74</v>
      </c>
      <c r="K447" s="16">
        <v>2.0</v>
      </c>
      <c r="L447" s="18">
        <v>3577.48</v>
      </c>
      <c r="M447" s="16" t="s">
        <v>2689</v>
      </c>
      <c r="N447" s="16" t="s">
        <v>2690</v>
      </c>
      <c r="O447" s="16" t="s">
        <v>2691</v>
      </c>
    </row>
    <row r="448" ht="15.75" customHeight="1">
      <c r="A448" s="23">
        <v>45424.0</v>
      </c>
      <c r="B448" s="16" t="s">
        <v>75</v>
      </c>
      <c r="C448" s="16" t="str">
        <f t="shared" si="1"/>
        <v>Cali</v>
      </c>
      <c r="D448" s="16" t="str">
        <f t="shared" si="2"/>
        <v>Cali</v>
      </c>
      <c r="E448" s="16" t="str">
        <f t="shared" si="3"/>
        <v>Cali</v>
      </c>
      <c r="F448" s="16" t="s">
        <v>233</v>
      </c>
      <c r="G448" s="17" t="str">
        <f>IFERROR(__xludf.DUMMYFUNCTION("SPLIT(F448:F1447,""-"") "),"Tablet")</f>
        <v>Tablet</v>
      </c>
      <c r="H448" s="16" t="str">
        <f>IFERROR(__xludf.DUMMYFUNCTION("""COMPUTED_VALUE"""),"Mini")</f>
        <v>Mini</v>
      </c>
      <c r="I448" s="16" t="str">
        <f>IFERROR(__xludf.DUMMYFUNCTION("""COMPUTED_VALUE"""),"16GB")</f>
        <v>16GB</v>
      </c>
      <c r="J448" s="18">
        <v>2199.82</v>
      </c>
      <c r="K448" s="16">
        <v>4.0</v>
      </c>
      <c r="L448" s="18">
        <v>8799.28</v>
      </c>
      <c r="M448" s="16" t="s">
        <v>2692</v>
      </c>
      <c r="N448" s="16" t="s">
        <v>2693</v>
      </c>
      <c r="O448" s="16" t="s">
        <v>2694</v>
      </c>
    </row>
    <row r="449" ht="15.75" customHeight="1">
      <c r="A449" s="19">
        <v>45621.0</v>
      </c>
      <c r="B449" s="16" t="s">
        <v>1407</v>
      </c>
      <c r="C449" s="16" t="str">
        <f t="shared" si="1"/>
        <v>Cali</v>
      </c>
      <c r="D449" s="16" t="str">
        <f t="shared" si="2"/>
        <v>Cali</v>
      </c>
      <c r="E449" s="16" t="str">
        <f t="shared" si="3"/>
        <v>Cali</v>
      </c>
      <c r="F449" s="16" t="s">
        <v>139</v>
      </c>
      <c r="G449" s="17" t="str">
        <f>IFERROR(__xludf.DUMMYFUNCTION("SPLIT(F449:F1448,""-"") "),"Auriculares")</f>
        <v>Auriculares</v>
      </c>
      <c r="H449" s="16" t="str">
        <f>IFERROR(__xludf.DUMMYFUNCTION("""COMPUTED_VALUE"""),"Con cable")</f>
        <v>Con cable</v>
      </c>
      <c r="I449" s="16" t="str">
        <f>IFERROR(__xludf.DUMMYFUNCTION("""COMPUTED_VALUE"""),"16GB")</f>
        <v>16GB</v>
      </c>
      <c r="J449" s="18">
        <v>2476.21</v>
      </c>
      <c r="K449" s="16">
        <v>5.0</v>
      </c>
      <c r="L449" s="18">
        <v>12381.05</v>
      </c>
      <c r="M449" s="16" t="s">
        <v>1471</v>
      </c>
      <c r="N449" s="16" t="s">
        <v>1472</v>
      </c>
      <c r="O449" s="16" t="s">
        <v>1473</v>
      </c>
    </row>
    <row r="450" ht="15.75" customHeight="1">
      <c r="A450" s="19">
        <v>45654.0</v>
      </c>
      <c r="B450" s="16" t="s">
        <v>2359</v>
      </c>
      <c r="C450" s="16" t="str">
        <f t="shared" si="1"/>
        <v>Ciudad De M√©Xico</v>
      </c>
      <c r="D450" s="16" t="str">
        <f t="shared" si="2"/>
        <v>Ciudad De M√©Xico</v>
      </c>
      <c r="E450" s="16" t="str">
        <f t="shared" si="3"/>
        <v>Ciudad De MéXico</v>
      </c>
      <c r="F450" s="16" t="s">
        <v>54</v>
      </c>
      <c r="G450" s="17" t="str">
        <f>IFERROR(__xludf.DUMMYFUNCTION("SPLIT(F450:F1449,""-"") "),"Laptop")</f>
        <v>Laptop</v>
      </c>
      <c r="H450" s="16" t="str">
        <f>IFERROR(__xludf.DUMMYFUNCTION("""COMPUTED_VALUE"""),"Oficina")</f>
        <v>Oficina</v>
      </c>
      <c r="I450" s="16" t="str">
        <f>IFERROR(__xludf.DUMMYFUNCTION("""COMPUTED_VALUE"""),"8GB")</f>
        <v>8GB</v>
      </c>
      <c r="J450" s="18">
        <v>2261.12</v>
      </c>
      <c r="K450" s="16">
        <v>4.0</v>
      </c>
      <c r="L450" s="18">
        <v>9044.48</v>
      </c>
      <c r="M450" s="16" t="s">
        <v>2243</v>
      </c>
      <c r="N450" s="16" t="s">
        <v>2244</v>
      </c>
      <c r="O450" s="16" t="s">
        <v>2245</v>
      </c>
    </row>
    <row r="451" ht="15.75" customHeight="1">
      <c r="A451" s="19">
        <v>45622.0</v>
      </c>
      <c r="B451" s="16" t="s">
        <v>35</v>
      </c>
      <c r="C451" s="16" t="str">
        <f t="shared" si="1"/>
        <v>Medellín</v>
      </c>
      <c r="D451" s="16" t="str">
        <f t="shared" si="2"/>
        <v>Medellín</v>
      </c>
      <c r="E451" s="16" t="str">
        <f t="shared" si="3"/>
        <v>Medellín</v>
      </c>
      <c r="F451" s="16" t="s">
        <v>190</v>
      </c>
      <c r="G451" s="17" t="str">
        <f>IFERROR(__xludf.DUMMYFUNCTION("SPLIT(F451:F1450,""-"") "),"Laptop")</f>
        <v>Laptop</v>
      </c>
      <c r="H451" s="16" t="str">
        <f>IFERROR(__xludf.DUMMYFUNCTION("""COMPUTED_VALUE"""),"Ultraliviana")</f>
        <v>Ultraliviana</v>
      </c>
      <c r="I451" s="16" t="str">
        <f>IFERROR(__xludf.DUMMYFUNCTION("""COMPUTED_VALUE"""),"16GB")</f>
        <v>16GB</v>
      </c>
      <c r="J451" s="18">
        <v>1247.08</v>
      </c>
      <c r="K451" s="16">
        <v>1.0</v>
      </c>
      <c r="L451" s="18">
        <v>1247.08</v>
      </c>
      <c r="M451" s="16" t="s">
        <v>1517</v>
      </c>
      <c r="N451" s="16" t="s">
        <v>1518</v>
      </c>
      <c r="O451" s="16" t="s">
        <v>1519</v>
      </c>
    </row>
    <row r="452" ht="15.75" customHeight="1">
      <c r="A452" s="23">
        <v>45514.0</v>
      </c>
      <c r="B452" s="16" t="s">
        <v>58</v>
      </c>
      <c r="C452" s="16" t="str">
        <f t="shared" si="1"/>
        <v>Guadalajara</v>
      </c>
      <c r="D452" s="16" t="str">
        <f t="shared" si="2"/>
        <v>Guadalajara</v>
      </c>
      <c r="E452" s="16" t="str">
        <f t="shared" si="3"/>
        <v>Guadalajara</v>
      </c>
      <c r="F452" s="16" t="s">
        <v>259</v>
      </c>
      <c r="G452" s="17" t="str">
        <f>IFERROR(__xludf.DUMMYFUNCTION("SPLIT(F452:F1451,""-"") "),"Auriculares")</f>
        <v>Auriculares</v>
      </c>
      <c r="H452" s="16" t="str">
        <f>IFERROR(__xludf.DUMMYFUNCTION("""COMPUTED_VALUE"""),"Cancelación de ruido")</f>
        <v>Cancelación de ruido</v>
      </c>
      <c r="I452" s="16" t="str">
        <f>IFERROR(__xludf.DUMMYFUNCTION("""COMPUTED_VALUE"""),"8GB")</f>
        <v>8GB</v>
      </c>
      <c r="J452" s="18">
        <v>479.96</v>
      </c>
      <c r="K452" s="16">
        <v>4.0</v>
      </c>
      <c r="L452" s="18">
        <v>1919.84</v>
      </c>
      <c r="M452" s="16" t="s">
        <v>2695</v>
      </c>
      <c r="N452" s="16" t="s">
        <v>2696</v>
      </c>
      <c r="O452" s="16" t="s">
        <v>2697</v>
      </c>
    </row>
    <row r="453" ht="15.75" customHeight="1">
      <c r="A453" s="19">
        <v>45621.0</v>
      </c>
      <c r="B453" s="16" t="s">
        <v>9</v>
      </c>
      <c r="C453" s="16" t="str">
        <f t="shared" si="1"/>
        <v>Monterrey</v>
      </c>
      <c r="D453" s="16" t="str">
        <f t="shared" si="2"/>
        <v>Monterrey</v>
      </c>
      <c r="E453" s="16" t="str">
        <f t="shared" si="3"/>
        <v>Monterrey</v>
      </c>
      <c r="F453" s="16" t="s">
        <v>1474</v>
      </c>
      <c r="G453" s="17" t="str">
        <f>IFERROR(__xludf.DUMMYFUNCTION("SPLIT(F453:F1452,""-"") "),"Auriculares")</f>
        <v>Auriculares</v>
      </c>
      <c r="H453" s="16" t="str">
        <f>IFERROR(__xludf.DUMMYFUNCTION("""COMPUTED_VALUE"""),"Con cable")</f>
        <v>Con cable</v>
      </c>
      <c r="I453" s="16" t="str">
        <f>IFERROR(__xludf.DUMMYFUNCTION("""COMPUTED_VALUE"""),"32GB ")</f>
        <v>32GB </v>
      </c>
      <c r="J453" s="18">
        <v>1155.26</v>
      </c>
      <c r="K453" s="16">
        <v>4.0</v>
      </c>
      <c r="L453" s="18">
        <v>4621.04</v>
      </c>
      <c r="M453" s="16" t="s">
        <v>1475</v>
      </c>
      <c r="N453" s="16" t="s">
        <v>1476</v>
      </c>
      <c r="O453" s="16" t="s">
        <v>1477</v>
      </c>
    </row>
    <row r="454" ht="15.75" customHeight="1">
      <c r="A454" s="19">
        <v>45624.0</v>
      </c>
      <c r="B454" s="16" t="s">
        <v>9</v>
      </c>
      <c r="C454" s="16" t="str">
        <f t="shared" si="1"/>
        <v>Monterrey</v>
      </c>
      <c r="D454" s="16" t="str">
        <f t="shared" si="2"/>
        <v>Monterrey</v>
      </c>
      <c r="E454" s="16" t="str">
        <f t="shared" si="3"/>
        <v>Monterrey</v>
      </c>
      <c r="F454" s="16" t="s">
        <v>23</v>
      </c>
      <c r="G454" s="17" t="str">
        <f>IFERROR(__xludf.DUMMYFUNCTION("SPLIT(F454:F1453,""-"") "),"Tablet")</f>
        <v>Tablet</v>
      </c>
      <c r="H454" s="16" t="str">
        <f>IFERROR(__xludf.DUMMYFUNCTION("""COMPUTED_VALUE"""),"Estándar")</f>
        <v>Estándar</v>
      </c>
      <c r="I454" s="16" t="str">
        <f>IFERROR(__xludf.DUMMYFUNCTION("""COMPUTED_VALUE"""),"16GB")</f>
        <v>16GB</v>
      </c>
      <c r="J454" s="18">
        <v>563.92</v>
      </c>
      <c r="K454" s="16">
        <v>2.0</v>
      </c>
      <c r="L454" s="18">
        <v>1127.84</v>
      </c>
      <c r="M454" s="16" t="s">
        <v>1574</v>
      </c>
      <c r="N454" s="16" t="s">
        <v>1575</v>
      </c>
      <c r="O454" s="16" t="s">
        <v>1576</v>
      </c>
    </row>
    <row r="455" ht="15.75" customHeight="1">
      <c r="A455" s="19">
        <v>45621.0</v>
      </c>
      <c r="B455" s="16" t="s">
        <v>2359</v>
      </c>
      <c r="C455" s="16" t="str">
        <f t="shared" si="1"/>
        <v>Ciudad De M√©Xico</v>
      </c>
      <c r="D455" s="16" t="str">
        <f t="shared" si="2"/>
        <v>Ciudad De M√©Xico</v>
      </c>
      <c r="E455" s="16" t="str">
        <f t="shared" si="3"/>
        <v>Ciudad De MéXico</v>
      </c>
      <c r="F455" s="16" t="s">
        <v>36</v>
      </c>
      <c r="G455" s="17" t="str">
        <f>IFERROR(__xludf.DUMMYFUNCTION("SPLIT(F455:F1454,""-"") "),"Tablet")</f>
        <v>Tablet</v>
      </c>
      <c r="H455" s="16" t="str">
        <f>IFERROR(__xludf.DUMMYFUNCTION("""COMPUTED_VALUE"""),"Pro")</f>
        <v>Pro</v>
      </c>
      <c r="I455" s="16" t="str">
        <f>IFERROR(__xludf.DUMMYFUNCTION("""COMPUTED_VALUE"""),"4GB")</f>
        <v>4GB</v>
      </c>
      <c r="J455" s="18">
        <v>1022.39</v>
      </c>
      <c r="K455" s="16">
        <v>2.0</v>
      </c>
      <c r="L455" s="18">
        <v>2044.78</v>
      </c>
      <c r="M455" s="16" t="s">
        <v>1478</v>
      </c>
      <c r="N455" s="16" t="s">
        <v>1479</v>
      </c>
      <c r="O455" s="16" t="s">
        <v>1480</v>
      </c>
    </row>
    <row r="456" ht="15.75" customHeight="1">
      <c r="A456" s="23">
        <v>45303.0</v>
      </c>
      <c r="B456" s="16" t="s">
        <v>75</v>
      </c>
      <c r="C456" s="16" t="str">
        <f t="shared" si="1"/>
        <v>Cali</v>
      </c>
      <c r="D456" s="16" t="str">
        <f t="shared" si="2"/>
        <v>Cali</v>
      </c>
      <c r="E456" s="16" t="str">
        <f t="shared" si="3"/>
        <v>Cali</v>
      </c>
      <c r="F456" s="16" t="s">
        <v>373</v>
      </c>
      <c r="G456" s="17" t="str">
        <f>IFERROR(__xludf.DUMMYFUNCTION("SPLIT(F456:F1455,""-"") "),"Teléfono")</f>
        <v>Teléfono</v>
      </c>
      <c r="H456" s="16" t="str">
        <f>IFERROR(__xludf.DUMMYFUNCTION("""COMPUTED_VALUE"""),"Gama media")</f>
        <v>Gama media</v>
      </c>
      <c r="I456" s="16" t="str">
        <f>IFERROR(__xludf.DUMMYFUNCTION("""COMPUTED_VALUE"""),"16GB")</f>
        <v>16GB</v>
      </c>
      <c r="J456" s="18">
        <v>1527.87</v>
      </c>
      <c r="K456" s="16">
        <v>2.0</v>
      </c>
      <c r="L456" s="18">
        <v>3055.74</v>
      </c>
      <c r="M456" s="16" t="s">
        <v>2698</v>
      </c>
      <c r="N456" s="16" t="s">
        <v>2699</v>
      </c>
      <c r="O456" s="16" t="s">
        <v>2700</v>
      </c>
    </row>
    <row r="457" ht="15.75" customHeight="1">
      <c r="A457" s="19">
        <v>45623.0</v>
      </c>
      <c r="B457" s="16" t="s">
        <v>2359</v>
      </c>
      <c r="C457" s="16" t="str">
        <f t="shared" si="1"/>
        <v>Ciudad De M√©Xico</v>
      </c>
      <c r="D457" s="16" t="str">
        <f t="shared" si="2"/>
        <v>Ciudad De M√©Xico</v>
      </c>
      <c r="E457" s="16" t="str">
        <f t="shared" si="3"/>
        <v>Ciudad De MéXico</v>
      </c>
      <c r="F457" s="16" t="s">
        <v>40</v>
      </c>
      <c r="G457" s="17" t="str">
        <f>IFERROR(__xludf.DUMMYFUNCTION("SPLIT(F457:F1456,""-"") "),"Auriculares")</f>
        <v>Auriculares</v>
      </c>
      <c r="H457" s="16" t="str">
        <f>IFERROR(__xludf.DUMMYFUNCTION("""COMPUTED_VALUE"""),"Con cable")</f>
        <v>Con cable</v>
      </c>
      <c r="I457" s="16" t="str">
        <f>IFERROR(__xludf.DUMMYFUNCTION("""COMPUTED_VALUE"""),"8GB")</f>
        <v>8GB</v>
      </c>
      <c r="J457" s="18">
        <v>1804.11</v>
      </c>
      <c r="K457" s="16">
        <v>4.0</v>
      </c>
      <c r="L457" s="18">
        <v>7216.44</v>
      </c>
      <c r="M457" s="16" t="s">
        <v>1544</v>
      </c>
      <c r="N457" s="16" t="s">
        <v>1545</v>
      </c>
      <c r="O457" s="16" t="s">
        <v>1546</v>
      </c>
    </row>
    <row r="458" ht="15.75" customHeight="1">
      <c r="A458" s="23">
        <v>45334.0</v>
      </c>
      <c r="B458" s="16" t="s">
        <v>35</v>
      </c>
      <c r="C458" s="16" t="str">
        <f t="shared" si="1"/>
        <v>Medellín</v>
      </c>
      <c r="D458" s="16" t="str">
        <f t="shared" si="2"/>
        <v>Medellín</v>
      </c>
      <c r="E458" s="16" t="str">
        <f t="shared" si="3"/>
        <v>Medellín</v>
      </c>
      <c r="F458" s="16" t="s">
        <v>117</v>
      </c>
      <c r="G458" s="17" t="str">
        <f>IFERROR(__xludf.DUMMYFUNCTION("SPLIT(F458:F1457,""-"") "),"Teléfono")</f>
        <v>Teléfono</v>
      </c>
      <c r="H458" s="16" t="str">
        <f>IFERROR(__xludf.DUMMYFUNCTION("""COMPUTED_VALUE"""),"Gama baja")</f>
        <v>Gama baja</v>
      </c>
      <c r="I458" s="16" t="str">
        <f>IFERROR(__xludf.DUMMYFUNCTION("""COMPUTED_VALUE"""),"16GB")</f>
        <v>16GB</v>
      </c>
      <c r="J458" s="18">
        <v>70.91</v>
      </c>
      <c r="K458" s="16">
        <v>3.0</v>
      </c>
      <c r="L458" s="18">
        <v>212.73</v>
      </c>
      <c r="M458" s="16" t="s">
        <v>2701</v>
      </c>
      <c r="N458" s="16" t="s">
        <v>2702</v>
      </c>
      <c r="O458" s="16" t="s">
        <v>2703</v>
      </c>
    </row>
    <row r="459" ht="15.75" customHeight="1">
      <c r="A459" s="19">
        <v>45620.0</v>
      </c>
      <c r="B459" s="16" t="s">
        <v>2359</v>
      </c>
      <c r="C459" s="16" t="str">
        <f t="shared" si="1"/>
        <v>Ciudad De M√©Xico</v>
      </c>
      <c r="D459" s="16" t="str">
        <f t="shared" si="2"/>
        <v>Ciudad De M√©Xico</v>
      </c>
      <c r="E459" s="16" t="str">
        <f t="shared" si="3"/>
        <v>Ciudad De MéXico</v>
      </c>
      <c r="F459" s="16" t="s">
        <v>63</v>
      </c>
      <c r="G459" s="17" t="str">
        <f>IFERROR(__xludf.DUMMYFUNCTION("SPLIT(F459:F1458,""-"") "),"Laptop")</f>
        <v>Laptop</v>
      </c>
      <c r="H459" s="16" t="str">
        <f>IFERROR(__xludf.DUMMYFUNCTION("""COMPUTED_VALUE"""),"Ultraliviana")</f>
        <v>Ultraliviana</v>
      </c>
      <c r="I459" s="16" t="str">
        <f>IFERROR(__xludf.DUMMYFUNCTION("""COMPUTED_VALUE"""),"4GB")</f>
        <v>4GB</v>
      </c>
      <c r="J459" s="18">
        <v>1768.85</v>
      </c>
      <c r="K459" s="16">
        <v>5.0</v>
      </c>
      <c r="L459" s="18">
        <v>8844.25</v>
      </c>
      <c r="M459" s="16" t="s">
        <v>1447</v>
      </c>
      <c r="N459" s="16" t="s">
        <v>1448</v>
      </c>
      <c r="O459" s="16" t="s">
        <v>1449</v>
      </c>
    </row>
    <row r="460" ht="15.75" customHeight="1">
      <c r="A460" s="19">
        <v>45610.0</v>
      </c>
      <c r="B460" s="16" t="s">
        <v>58</v>
      </c>
      <c r="C460" s="16" t="str">
        <f t="shared" si="1"/>
        <v>Guadalajara</v>
      </c>
      <c r="D460" s="16" t="str">
        <f t="shared" si="2"/>
        <v>Guadalajara</v>
      </c>
      <c r="E460" s="16" t="str">
        <f t="shared" si="3"/>
        <v>Guadalajara</v>
      </c>
      <c r="F460" s="16" t="s">
        <v>1081</v>
      </c>
      <c r="G460" s="17" t="str">
        <f>IFERROR(__xludf.DUMMYFUNCTION("SPLIT(F460:F1459,""-"") "),"Laptop")</f>
        <v>Laptop</v>
      </c>
      <c r="H460" s="16" t="str">
        <f>IFERROR(__xludf.DUMMYFUNCTION("""COMPUTED_VALUE"""),"Gaming")</f>
        <v>Gaming</v>
      </c>
      <c r="I460" s="16" t="str">
        <f>IFERROR(__xludf.DUMMYFUNCTION("""COMPUTED_VALUE"""),"32GB ")</f>
        <v>32GB </v>
      </c>
      <c r="J460" s="18">
        <v>446.49</v>
      </c>
      <c r="K460" s="16">
        <v>3.0</v>
      </c>
      <c r="L460" s="18">
        <v>1339.47</v>
      </c>
      <c r="M460" s="16" t="s">
        <v>1082</v>
      </c>
      <c r="N460" s="16" t="s">
        <v>1083</v>
      </c>
      <c r="O460" s="16" t="s">
        <v>1084</v>
      </c>
    </row>
    <row r="461" ht="15.75" customHeight="1">
      <c r="A461" s="19">
        <v>45612.0</v>
      </c>
      <c r="B461" s="16" t="s">
        <v>9</v>
      </c>
      <c r="C461" s="16" t="str">
        <f t="shared" si="1"/>
        <v>Monterrey</v>
      </c>
      <c r="D461" s="16" t="str">
        <f t="shared" si="2"/>
        <v>Monterrey</v>
      </c>
      <c r="E461" s="16" t="str">
        <f t="shared" si="3"/>
        <v>Monterrey</v>
      </c>
      <c r="F461" s="16" t="s">
        <v>163</v>
      </c>
      <c r="G461" s="17" t="str">
        <f>IFERROR(__xludf.DUMMYFUNCTION("SPLIT(F461:F1460,""-"") "),"Laptop")</f>
        <v>Laptop</v>
      </c>
      <c r="H461" s="16" t="str">
        <f>IFERROR(__xludf.DUMMYFUNCTION("""COMPUTED_VALUE"""),"Oficina")</f>
        <v>Oficina</v>
      </c>
      <c r="I461" s="16" t="str">
        <f>IFERROR(__xludf.DUMMYFUNCTION("""COMPUTED_VALUE"""),"32GB")</f>
        <v>32GB</v>
      </c>
      <c r="J461" s="18">
        <v>416.81</v>
      </c>
      <c r="K461" s="16">
        <v>2.0</v>
      </c>
      <c r="L461" s="18">
        <v>833.62</v>
      </c>
      <c r="M461" s="16" t="s">
        <v>1161</v>
      </c>
      <c r="N461" s="16" t="s">
        <v>1162</v>
      </c>
      <c r="O461" s="16" t="s">
        <v>1163</v>
      </c>
    </row>
    <row r="462" ht="15.75" customHeight="1">
      <c r="A462" s="19">
        <v>45592.0</v>
      </c>
      <c r="B462" s="16" t="s">
        <v>2359</v>
      </c>
      <c r="C462" s="16" t="str">
        <f t="shared" si="1"/>
        <v>Ciudad De M√©Xico</v>
      </c>
      <c r="D462" s="16" t="str">
        <f t="shared" si="2"/>
        <v>Ciudad De M√©Xico</v>
      </c>
      <c r="E462" s="16" t="str">
        <f t="shared" si="3"/>
        <v>Ciudad De MéXico</v>
      </c>
      <c r="F462" s="16" t="s">
        <v>369</v>
      </c>
      <c r="G462" s="17" t="str">
        <f>IFERROR(__xludf.DUMMYFUNCTION("SPLIT(F462:F1461,""-"") "),"Auriculares")</f>
        <v>Auriculares</v>
      </c>
      <c r="H462" s="16" t="str">
        <f>IFERROR(__xludf.DUMMYFUNCTION("""COMPUTED_VALUE"""),"Con cable")</f>
        <v>Con cable</v>
      </c>
      <c r="I462" s="16" t="str">
        <f>IFERROR(__xludf.DUMMYFUNCTION("""COMPUTED_VALUE"""),"4GB")</f>
        <v>4GB</v>
      </c>
      <c r="J462" s="18">
        <v>1437.75</v>
      </c>
      <c r="K462" s="16">
        <v>5.0</v>
      </c>
      <c r="L462" s="18">
        <v>7188.75</v>
      </c>
      <c r="M462" s="16" t="s">
        <v>673</v>
      </c>
      <c r="N462" s="16" t="s">
        <v>674</v>
      </c>
      <c r="O462" s="16" t="s">
        <v>675</v>
      </c>
    </row>
    <row r="463" ht="15.75" customHeight="1">
      <c r="A463" s="23">
        <v>45302.0</v>
      </c>
      <c r="B463" s="16" t="s">
        <v>58</v>
      </c>
      <c r="C463" s="16" t="str">
        <f t="shared" si="1"/>
        <v>Guadalajara</v>
      </c>
      <c r="D463" s="16" t="str">
        <f t="shared" si="2"/>
        <v>Guadalajara</v>
      </c>
      <c r="E463" s="16" t="str">
        <f t="shared" si="3"/>
        <v>Guadalajara</v>
      </c>
      <c r="F463" s="16" t="s">
        <v>10</v>
      </c>
      <c r="G463" s="17" t="str">
        <f>IFERROR(__xludf.DUMMYFUNCTION("SPLIT(F463:F1462,""-"") "),"Tablet")</f>
        <v>Tablet</v>
      </c>
      <c r="H463" s="16" t="str">
        <f>IFERROR(__xludf.DUMMYFUNCTION("""COMPUTED_VALUE"""),"Estándar")</f>
        <v>Estándar</v>
      </c>
      <c r="I463" s="16" t="str">
        <f>IFERROR(__xludf.DUMMYFUNCTION("""COMPUTED_VALUE"""),"8GB")</f>
        <v>8GB</v>
      </c>
      <c r="J463" s="18">
        <v>2078.48</v>
      </c>
      <c r="K463" s="16">
        <v>3.0</v>
      </c>
      <c r="L463" s="18">
        <v>6235.44</v>
      </c>
      <c r="M463" s="16" t="s">
        <v>2704</v>
      </c>
      <c r="N463" s="16" t="s">
        <v>2705</v>
      </c>
      <c r="O463" s="16" t="s">
        <v>2706</v>
      </c>
    </row>
    <row r="464" ht="15.75" customHeight="1">
      <c r="A464" s="19">
        <v>45615.0</v>
      </c>
      <c r="B464" s="16" t="s">
        <v>35</v>
      </c>
      <c r="C464" s="16" t="str">
        <f t="shared" si="1"/>
        <v>Medellín</v>
      </c>
      <c r="D464" s="16" t="str">
        <f t="shared" si="2"/>
        <v>Medellín</v>
      </c>
      <c r="E464" s="16" t="str">
        <f t="shared" si="3"/>
        <v>Medellín</v>
      </c>
      <c r="F464" s="16" t="s">
        <v>63</v>
      </c>
      <c r="G464" s="17" t="str">
        <f>IFERROR(__xludf.DUMMYFUNCTION("SPLIT(F464:F1463,""-"") "),"Laptop")</f>
        <v>Laptop</v>
      </c>
      <c r="H464" s="16" t="str">
        <f>IFERROR(__xludf.DUMMYFUNCTION("""COMPUTED_VALUE"""),"Ultraliviana")</f>
        <v>Ultraliviana</v>
      </c>
      <c r="I464" s="16" t="str">
        <f>IFERROR(__xludf.DUMMYFUNCTION("""COMPUTED_VALUE"""),"4GB")</f>
        <v>4GB</v>
      </c>
      <c r="J464" s="18">
        <v>1292.9</v>
      </c>
      <c r="K464" s="16">
        <v>2.0</v>
      </c>
      <c r="L464" s="18">
        <v>2585.8</v>
      </c>
      <c r="M464" s="16" t="s">
        <v>1275</v>
      </c>
      <c r="N464" s="16" t="s">
        <v>1276</v>
      </c>
      <c r="O464" s="16" t="s">
        <v>1277</v>
      </c>
    </row>
    <row r="465" ht="15.75" customHeight="1">
      <c r="A465" s="19">
        <v>45587.0</v>
      </c>
      <c r="B465" s="16" t="s">
        <v>58</v>
      </c>
      <c r="C465" s="16" t="str">
        <f t="shared" si="1"/>
        <v>Guadalajara</v>
      </c>
      <c r="D465" s="16" t="str">
        <f t="shared" si="2"/>
        <v>Guadalajara</v>
      </c>
      <c r="E465" s="16" t="str">
        <f t="shared" si="3"/>
        <v>Guadalajara</v>
      </c>
      <c r="F465" s="16" t="s">
        <v>229</v>
      </c>
      <c r="G465" s="17" t="str">
        <f>IFERROR(__xludf.DUMMYFUNCTION("SPLIT(F465:F1464,""-"") "),"Laptop")</f>
        <v>Laptop</v>
      </c>
      <c r="H465" s="16" t="str">
        <f>IFERROR(__xludf.DUMMYFUNCTION("""COMPUTED_VALUE"""),"Oficina")</f>
        <v>Oficina</v>
      </c>
      <c r="I465" s="16" t="str">
        <f>IFERROR(__xludf.DUMMYFUNCTION("""COMPUTED_VALUE"""),"4GB")</f>
        <v>4GB</v>
      </c>
      <c r="J465" s="18">
        <v>1703.47</v>
      </c>
      <c r="K465" s="16">
        <v>2.0</v>
      </c>
      <c r="L465" s="18">
        <v>3406.94</v>
      </c>
      <c r="M465" s="16" t="s">
        <v>517</v>
      </c>
      <c r="N465" s="16" t="s">
        <v>518</v>
      </c>
      <c r="O465" s="16" t="s">
        <v>519</v>
      </c>
    </row>
    <row r="466" ht="15.75" customHeight="1">
      <c r="A466" s="23">
        <v>45636.0</v>
      </c>
      <c r="B466" s="16" t="s">
        <v>9</v>
      </c>
      <c r="C466" s="16" t="str">
        <f t="shared" si="1"/>
        <v>Monterrey</v>
      </c>
      <c r="D466" s="16" t="str">
        <f t="shared" si="2"/>
        <v>Monterrey</v>
      </c>
      <c r="E466" s="16" t="str">
        <f t="shared" si="3"/>
        <v>Monterrey</v>
      </c>
      <c r="F466" s="16" t="s">
        <v>399</v>
      </c>
      <c r="G466" s="17" t="str">
        <f>IFERROR(__xludf.DUMMYFUNCTION("SPLIT(F466:F1465,""-"") "),"Laptop")</f>
        <v>Laptop</v>
      </c>
      <c r="H466" s="16" t="str">
        <f>IFERROR(__xludf.DUMMYFUNCTION("""COMPUTED_VALUE"""),"Gaming")</f>
        <v>Gaming</v>
      </c>
      <c r="I466" s="16" t="str">
        <f>IFERROR(__xludf.DUMMYFUNCTION("""COMPUTED_VALUE"""),"4GB")</f>
        <v>4GB</v>
      </c>
      <c r="J466" s="18">
        <v>240.45</v>
      </c>
      <c r="K466" s="16">
        <v>4.0</v>
      </c>
      <c r="L466" s="18">
        <v>961.8</v>
      </c>
      <c r="M466" s="16" t="s">
        <v>1739</v>
      </c>
      <c r="N466" s="16" t="s">
        <v>1740</v>
      </c>
      <c r="O466" s="16" t="s">
        <v>1741</v>
      </c>
    </row>
    <row r="467" ht="15.75" customHeight="1">
      <c r="A467" s="19">
        <v>45643.0</v>
      </c>
      <c r="B467" s="16" t="s">
        <v>75</v>
      </c>
      <c r="C467" s="16" t="str">
        <f t="shared" si="1"/>
        <v>Cali</v>
      </c>
      <c r="D467" s="16" t="str">
        <f t="shared" si="2"/>
        <v>Cali</v>
      </c>
      <c r="E467" s="16" t="str">
        <f t="shared" si="3"/>
        <v>Cali</v>
      </c>
      <c r="F467" s="16" t="s">
        <v>430</v>
      </c>
      <c r="G467" s="17" t="str">
        <f>IFERROR(__xludf.DUMMYFUNCTION("SPLIT(F467:F1466,""-"") "),"Teléfono")</f>
        <v>Teléfono</v>
      </c>
      <c r="H467" s="16" t="str">
        <f>IFERROR(__xludf.DUMMYFUNCTION("""COMPUTED_VALUE"""),"Gama alta")</f>
        <v>Gama alta</v>
      </c>
      <c r="I467" s="16" t="str">
        <f>IFERROR(__xludf.DUMMYFUNCTION("""COMPUTED_VALUE"""),"4GB")</f>
        <v>4GB</v>
      </c>
      <c r="J467" s="18">
        <v>1700.41</v>
      </c>
      <c r="K467" s="16">
        <v>4.0</v>
      </c>
      <c r="L467" s="18">
        <v>6801.64</v>
      </c>
      <c r="M467" s="16" t="s">
        <v>1924</v>
      </c>
      <c r="N467" s="16" t="s">
        <v>1925</v>
      </c>
      <c r="O467" s="16" t="s">
        <v>1926</v>
      </c>
    </row>
    <row r="468" ht="15.75" customHeight="1">
      <c r="A468" s="23">
        <v>45455.0</v>
      </c>
      <c r="B468" s="16" t="s">
        <v>2359</v>
      </c>
      <c r="C468" s="16" t="str">
        <f t="shared" si="1"/>
        <v>Ciudad De M√©Xico</v>
      </c>
      <c r="D468" s="16" t="str">
        <f t="shared" si="2"/>
        <v>Ciudad De M√©Xico</v>
      </c>
      <c r="E468" s="16" t="str">
        <f t="shared" si="3"/>
        <v>Ciudad De MéXico</v>
      </c>
      <c r="F468" s="16" t="s">
        <v>59</v>
      </c>
      <c r="G468" s="17" t="str">
        <f>IFERROR(__xludf.DUMMYFUNCTION("SPLIT(F468:F1467,""-"") "),"Auriculares")</f>
        <v>Auriculares</v>
      </c>
      <c r="H468" s="16" t="str">
        <f>IFERROR(__xludf.DUMMYFUNCTION("""COMPUTED_VALUE"""),"Bluetooth")</f>
        <v>Bluetooth</v>
      </c>
      <c r="I468" s="16" t="str">
        <f>IFERROR(__xludf.DUMMYFUNCTION("""COMPUTED_VALUE"""),"4GB")</f>
        <v>4GB</v>
      </c>
      <c r="J468" s="18">
        <v>460.62</v>
      </c>
      <c r="K468" s="16">
        <v>4.0</v>
      </c>
      <c r="L468" s="18">
        <v>1842.48</v>
      </c>
      <c r="M468" s="16" t="s">
        <v>2707</v>
      </c>
      <c r="N468" s="16" t="s">
        <v>2708</v>
      </c>
      <c r="O468" s="16" t="s">
        <v>2709</v>
      </c>
    </row>
    <row r="469" ht="15.75" customHeight="1">
      <c r="A469" s="19">
        <v>45592.0</v>
      </c>
      <c r="B469" s="16" t="s">
        <v>14</v>
      </c>
      <c r="C469" s="16" t="str">
        <f t="shared" si="1"/>
        <v>Bogotá</v>
      </c>
      <c r="D469" s="16" t="str">
        <f t="shared" si="2"/>
        <v>Bogotá</v>
      </c>
      <c r="E469" s="16" t="str">
        <f t="shared" si="3"/>
        <v>Bogotá</v>
      </c>
      <c r="F469" s="16" t="s">
        <v>36</v>
      </c>
      <c r="G469" s="17" t="str">
        <f>IFERROR(__xludf.DUMMYFUNCTION("SPLIT(F469:F1468,""-"") "),"Tablet")</f>
        <v>Tablet</v>
      </c>
      <c r="H469" s="16" t="str">
        <f>IFERROR(__xludf.DUMMYFUNCTION("""COMPUTED_VALUE"""),"Pro")</f>
        <v>Pro</v>
      </c>
      <c r="I469" s="16" t="str">
        <f>IFERROR(__xludf.DUMMYFUNCTION("""COMPUTED_VALUE"""),"4GB")</f>
        <v>4GB</v>
      </c>
      <c r="J469" s="18">
        <v>1092.45</v>
      </c>
      <c r="K469" s="16">
        <v>3.0</v>
      </c>
      <c r="L469" s="18">
        <v>3277.35</v>
      </c>
      <c r="M469" s="16" t="s">
        <v>676</v>
      </c>
      <c r="N469" s="16" t="s">
        <v>677</v>
      </c>
      <c r="O469" s="16" t="s">
        <v>678</v>
      </c>
    </row>
    <row r="470" ht="15.75" customHeight="1">
      <c r="A470" s="24">
        <v>45603.0</v>
      </c>
      <c r="B470" s="16" t="s">
        <v>35</v>
      </c>
      <c r="C470" s="16" t="str">
        <f t="shared" si="1"/>
        <v>Medellín</v>
      </c>
      <c r="D470" s="16" t="str">
        <f t="shared" si="2"/>
        <v>Medellín</v>
      </c>
      <c r="E470" s="16" t="str">
        <f t="shared" si="3"/>
        <v>Medellín</v>
      </c>
      <c r="F470" s="16" t="s">
        <v>255</v>
      </c>
      <c r="G470" s="17" t="str">
        <f>IFERROR(__xludf.DUMMYFUNCTION("SPLIT(F470:F1469,""-"") "),"Auriculares")</f>
        <v>Auriculares</v>
      </c>
      <c r="H470" s="16" t="str">
        <f>IFERROR(__xludf.DUMMYFUNCTION("""COMPUTED_VALUE"""),"Bluetooth")</f>
        <v>Bluetooth</v>
      </c>
      <c r="I470" s="16" t="str">
        <f>IFERROR(__xludf.DUMMYFUNCTION("""COMPUTED_VALUE"""),"8GB")</f>
        <v>8GB</v>
      </c>
      <c r="J470" s="18">
        <v>1270.75</v>
      </c>
      <c r="K470" s="16">
        <v>5.0</v>
      </c>
      <c r="L470" s="18">
        <v>6353.75</v>
      </c>
      <c r="M470" s="16" t="s">
        <v>885</v>
      </c>
      <c r="N470" s="16" t="s">
        <v>886</v>
      </c>
      <c r="O470" s="16" t="s">
        <v>887</v>
      </c>
    </row>
    <row r="471" ht="15.75" customHeight="1">
      <c r="A471" s="23">
        <v>45394.0</v>
      </c>
      <c r="B471" s="16" t="s">
        <v>75</v>
      </c>
      <c r="C471" s="16" t="str">
        <f t="shared" si="1"/>
        <v>Cali</v>
      </c>
      <c r="D471" s="16" t="str">
        <f t="shared" si="2"/>
        <v>Cali</v>
      </c>
      <c r="E471" s="16" t="str">
        <f t="shared" si="3"/>
        <v>Cali</v>
      </c>
      <c r="F471" s="16" t="s">
        <v>167</v>
      </c>
      <c r="G471" s="17" t="str">
        <f>IFERROR(__xludf.DUMMYFUNCTION("SPLIT(F471:F1470,""-"") "),"Auriculares")</f>
        <v>Auriculares</v>
      </c>
      <c r="H471" s="16" t="str">
        <f>IFERROR(__xludf.DUMMYFUNCTION("""COMPUTED_VALUE"""),"Bluetooth")</f>
        <v>Bluetooth</v>
      </c>
      <c r="I471" s="16" t="str">
        <f>IFERROR(__xludf.DUMMYFUNCTION("""COMPUTED_VALUE"""),"32GB")</f>
        <v>32GB</v>
      </c>
      <c r="J471" s="18">
        <v>583.68</v>
      </c>
      <c r="K471" s="16">
        <v>4.0</v>
      </c>
      <c r="L471" s="18">
        <v>2334.72</v>
      </c>
      <c r="M471" s="16" t="s">
        <v>2710</v>
      </c>
      <c r="N471" s="16" t="s">
        <v>2711</v>
      </c>
      <c r="O471" s="16" t="s">
        <v>2712</v>
      </c>
    </row>
    <row r="472" ht="15.75" customHeight="1">
      <c r="A472" s="23">
        <v>45547.0</v>
      </c>
      <c r="B472" s="16" t="s">
        <v>35</v>
      </c>
      <c r="C472" s="16" t="str">
        <f t="shared" si="1"/>
        <v>Medellín</v>
      </c>
      <c r="D472" s="16" t="str">
        <f t="shared" si="2"/>
        <v>Medellín</v>
      </c>
      <c r="E472" s="16" t="str">
        <f t="shared" si="3"/>
        <v>Medellín</v>
      </c>
      <c r="F472" s="16" t="s">
        <v>125</v>
      </c>
      <c r="G472" s="17" t="str">
        <f>IFERROR(__xludf.DUMMYFUNCTION("SPLIT(F472:F1471,""-"") "),"Tel√©fono")</f>
        <v>Tel√©fono</v>
      </c>
      <c r="H472" s="16" t="str">
        <f>IFERROR(__xludf.DUMMYFUNCTION("""COMPUTED_VALUE"""),"Gama media")</f>
        <v>Gama media</v>
      </c>
      <c r="I472" s="16" t="str">
        <f>IFERROR(__xludf.DUMMYFUNCTION("""COMPUTED_VALUE"""),"8GB")</f>
        <v>8GB</v>
      </c>
      <c r="J472" s="18">
        <v>1284.18</v>
      </c>
      <c r="K472" s="16">
        <v>3.0</v>
      </c>
      <c r="L472" s="18">
        <v>3852.54</v>
      </c>
      <c r="M472" s="16" t="s">
        <v>2713</v>
      </c>
      <c r="N472" s="16" t="s">
        <v>2714</v>
      </c>
      <c r="O472" s="16" t="s">
        <v>2715</v>
      </c>
    </row>
    <row r="473" ht="15.75" customHeight="1">
      <c r="A473" s="23">
        <v>45637.0</v>
      </c>
      <c r="B473" s="16" t="s">
        <v>35</v>
      </c>
      <c r="C473" s="16" t="str">
        <f t="shared" si="1"/>
        <v>Medellín</v>
      </c>
      <c r="D473" s="16" t="str">
        <f t="shared" si="2"/>
        <v>Medellín</v>
      </c>
      <c r="E473" s="16" t="str">
        <f t="shared" si="3"/>
        <v>Medellín</v>
      </c>
      <c r="F473" s="16" t="s">
        <v>90</v>
      </c>
      <c r="G473" s="17" t="str">
        <f>IFERROR(__xludf.DUMMYFUNCTION("SPLIT(F473:F1472,""-"") "),"Laptop")</f>
        <v>Laptop</v>
      </c>
      <c r="H473" s="16" t="str">
        <f>IFERROR(__xludf.DUMMYFUNCTION("""COMPUTED_VALUE"""),"Gaming")</f>
        <v>Gaming</v>
      </c>
      <c r="I473" s="16" t="str">
        <f>IFERROR(__xludf.DUMMYFUNCTION("""COMPUTED_VALUE"""),"32GB")</f>
        <v>32GB</v>
      </c>
      <c r="J473" s="18">
        <v>569.56</v>
      </c>
      <c r="K473" s="16">
        <v>4.0</v>
      </c>
      <c r="L473" s="18">
        <v>2278.24</v>
      </c>
      <c r="M473" s="16" t="s">
        <v>1775</v>
      </c>
      <c r="N473" s="16" t="s">
        <v>1776</v>
      </c>
      <c r="O473" s="16" t="s">
        <v>1777</v>
      </c>
    </row>
    <row r="474" ht="15.75" customHeight="1">
      <c r="A474" s="19">
        <v>45611.0</v>
      </c>
      <c r="B474" s="16" t="s">
        <v>2359</v>
      </c>
      <c r="C474" s="16" t="str">
        <f t="shared" si="1"/>
        <v>Ciudad De M√©Xico</v>
      </c>
      <c r="D474" s="16" t="str">
        <f t="shared" si="2"/>
        <v>Ciudad De M√©Xico</v>
      </c>
      <c r="E474" s="16" t="str">
        <f t="shared" si="3"/>
        <v>Ciudad De MéXico</v>
      </c>
      <c r="F474" s="16" t="s">
        <v>67</v>
      </c>
      <c r="G474" s="17" t="str">
        <f>IFERROR(__xludf.DUMMYFUNCTION("SPLIT(F474:F1473,""-"") "),"Tablet")</f>
        <v>Tablet</v>
      </c>
      <c r="H474" s="16" t="str">
        <f>IFERROR(__xludf.DUMMYFUNCTION("""COMPUTED_VALUE"""),"Estándar")</f>
        <v>Estándar</v>
      </c>
      <c r="I474" s="16" t="str">
        <f>IFERROR(__xludf.DUMMYFUNCTION("""COMPUTED_VALUE"""),"4GB")</f>
        <v>4GB</v>
      </c>
      <c r="J474" s="18">
        <v>1808.18</v>
      </c>
      <c r="K474" s="16">
        <v>5.0</v>
      </c>
      <c r="L474" s="18">
        <v>9040.9</v>
      </c>
      <c r="M474" s="16" t="s">
        <v>1113</v>
      </c>
      <c r="N474" s="16" t="s">
        <v>1114</v>
      </c>
      <c r="O474" s="16" t="s">
        <v>1115</v>
      </c>
    </row>
    <row r="475" ht="15.75" customHeight="1">
      <c r="A475" s="19">
        <v>45613.0</v>
      </c>
      <c r="B475" s="16" t="s">
        <v>2359</v>
      </c>
      <c r="C475" s="16" t="str">
        <f t="shared" si="1"/>
        <v>Ciudad De M√©Xico</v>
      </c>
      <c r="D475" s="16" t="str">
        <f t="shared" si="2"/>
        <v>Ciudad De M√©Xico</v>
      </c>
      <c r="E475" s="16" t="str">
        <f t="shared" si="3"/>
        <v>Ciudad De MéXico</v>
      </c>
      <c r="F475" s="16" t="s">
        <v>389</v>
      </c>
      <c r="G475" s="17" t="str">
        <f>IFERROR(__xludf.DUMMYFUNCTION("SPLIT(F475:F1474,""-"") "),"Auriculares")</f>
        <v>Auriculares</v>
      </c>
      <c r="H475" s="16" t="str">
        <f>IFERROR(__xludf.DUMMYFUNCTION("""COMPUTED_VALUE"""),"Cancelación de ruido")</f>
        <v>Cancelación de ruido</v>
      </c>
      <c r="I475" s="16" t="str">
        <f>IFERROR(__xludf.DUMMYFUNCTION("""COMPUTED_VALUE"""),"4GB")</f>
        <v>4GB</v>
      </c>
      <c r="J475" s="18">
        <v>2255.29</v>
      </c>
      <c r="K475" s="16">
        <v>3.0</v>
      </c>
      <c r="L475" s="18">
        <v>6765.87</v>
      </c>
      <c r="M475" s="16" t="s">
        <v>1209</v>
      </c>
      <c r="N475" s="16" t="s">
        <v>1210</v>
      </c>
      <c r="O475" s="16" t="s">
        <v>1211</v>
      </c>
    </row>
    <row r="476" ht="15.75" customHeight="1">
      <c r="A476" s="19">
        <v>45594.0</v>
      </c>
      <c r="B476" s="16" t="s">
        <v>75</v>
      </c>
      <c r="C476" s="16" t="str">
        <f t="shared" si="1"/>
        <v>Cali</v>
      </c>
      <c r="D476" s="16" t="str">
        <f t="shared" si="2"/>
        <v>Cali</v>
      </c>
      <c r="E476" s="16" t="str">
        <f t="shared" si="3"/>
        <v>Cali</v>
      </c>
      <c r="F476" s="16" t="s">
        <v>218</v>
      </c>
      <c r="G476" s="17" t="str">
        <f>IFERROR(__xludf.DUMMYFUNCTION("SPLIT(F476:F1475,""-"") "),"Teléfono")</f>
        <v>Teléfono</v>
      </c>
      <c r="H476" s="16" t="str">
        <f>IFERROR(__xludf.DUMMYFUNCTION("""COMPUTED_VALUE"""),"Gama media")</f>
        <v>Gama media</v>
      </c>
      <c r="I476" s="16" t="str">
        <f>IFERROR(__xludf.DUMMYFUNCTION("""COMPUTED_VALUE"""),"4GB")</f>
        <v>4GB</v>
      </c>
      <c r="J476" s="18">
        <v>847.32</v>
      </c>
      <c r="K476" s="16">
        <v>5.0</v>
      </c>
      <c r="L476" s="18">
        <v>4236.6</v>
      </c>
      <c r="M476" s="16" t="s">
        <v>745</v>
      </c>
      <c r="N476" s="16" t="s">
        <v>746</v>
      </c>
      <c r="O476" s="16" t="s">
        <v>747</v>
      </c>
    </row>
    <row r="477" ht="15.75" customHeight="1">
      <c r="A477" s="19">
        <v>45594.0</v>
      </c>
      <c r="B477" s="16" t="s">
        <v>2359</v>
      </c>
      <c r="C477" s="16" t="str">
        <f t="shared" si="1"/>
        <v>Ciudad De M√©Xico</v>
      </c>
      <c r="D477" s="16" t="str">
        <f t="shared" si="2"/>
        <v>Ciudad De M√©Xico</v>
      </c>
      <c r="E477" s="16" t="str">
        <f t="shared" si="3"/>
        <v>Ciudad De MéXico</v>
      </c>
      <c r="F477" s="16" t="s">
        <v>36</v>
      </c>
      <c r="G477" s="17" t="str">
        <f>IFERROR(__xludf.DUMMYFUNCTION("SPLIT(F477:F1476,""-"") "),"Tablet")</f>
        <v>Tablet</v>
      </c>
      <c r="H477" s="16" t="str">
        <f>IFERROR(__xludf.DUMMYFUNCTION("""COMPUTED_VALUE"""),"Pro")</f>
        <v>Pro</v>
      </c>
      <c r="I477" s="16" t="str">
        <f>IFERROR(__xludf.DUMMYFUNCTION("""COMPUTED_VALUE"""),"4GB")</f>
        <v>4GB</v>
      </c>
      <c r="J477" s="18">
        <v>509.58</v>
      </c>
      <c r="K477" s="16">
        <v>3.0</v>
      </c>
      <c r="L477" s="18">
        <v>1528.74</v>
      </c>
      <c r="M477" s="16" t="s">
        <v>748</v>
      </c>
      <c r="N477" s="16" t="s">
        <v>749</v>
      </c>
      <c r="O477" s="16" t="s">
        <v>750</v>
      </c>
    </row>
    <row r="478" ht="15.75" customHeight="1">
      <c r="A478" s="23">
        <v>45393.0</v>
      </c>
      <c r="B478" s="16" t="s">
        <v>14</v>
      </c>
      <c r="C478" s="16" t="str">
        <f t="shared" si="1"/>
        <v>Bogotá</v>
      </c>
      <c r="D478" s="16" t="str">
        <f t="shared" si="2"/>
        <v>Bogotá</v>
      </c>
      <c r="E478" s="16" t="str">
        <f t="shared" si="3"/>
        <v>Bogotá</v>
      </c>
      <c r="F478" s="16" t="s">
        <v>282</v>
      </c>
      <c r="G478" s="17" t="str">
        <f>IFERROR(__xludf.DUMMYFUNCTION("SPLIT(F478:F1477,""-"") "),"Tablet")</f>
        <v>Tablet</v>
      </c>
      <c r="H478" s="16" t="str">
        <f>IFERROR(__xludf.DUMMYFUNCTION("""COMPUTED_VALUE"""),"Pro")</f>
        <v>Pro</v>
      </c>
      <c r="I478" s="16" t="str">
        <f>IFERROR(__xludf.DUMMYFUNCTION("""COMPUTED_VALUE"""),"16GB")</f>
        <v>16GB</v>
      </c>
      <c r="J478" s="18">
        <v>578.14</v>
      </c>
      <c r="K478" s="16">
        <v>5.0</v>
      </c>
      <c r="L478" s="18">
        <v>2890.7</v>
      </c>
      <c r="M478" s="16" t="s">
        <v>2716</v>
      </c>
      <c r="N478" s="16" t="s">
        <v>2717</v>
      </c>
      <c r="O478" s="16" t="s">
        <v>2718</v>
      </c>
    </row>
    <row r="479" ht="15.75" customHeight="1">
      <c r="A479" s="19">
        <v>45610.0</v>
      </c>
      <c r="B479" s="16" t="s">
        <v>35</v>
      </c>
      <c r="C479" s="16" t="str">
        <f t="shared" si="1"/>
        <v>Medellín</v>
      </c>
      <c r="D479" s="16" t="str">
        <f t="shared" si="2"/>
        <v>Medellín</v>
      </c>
      <c r="E479" s="16" t="str">
        <f t="shared" si="3"/>
        <v>Medellín</v>
      </c>
      <c r="F479" s="16" t="s">
        <v>272</v>
      </c>
      <c r="G479" s="17" t="str">
        <f>IFERROR(__xludf.DUMMYFUNCTION("SPLIT(F479:F1478,""-"") "),"Teléfono")</f>
        <v>Teléfono</v>
      </c>
      <c r="H479" s="16" t="str">
        <f>IFERROR(__xludf.DUMMYFUNCTION("""COMPUTED_VALUE"""),"Gama baja")</f>
        <v>Gama baja</v>
      </c>
      <c r="I479" s="16" t="str">
        <f>IFERROR(__xludf.DUMMYFUNCTION("""COMPUTED_VALUE"""),"32GB")</f>
        <v>32GB</v>
      </c>
      <c r="J479" s="18">
        <v>879.78</v>
      </c>
      <c r="K479" s="16">
        <v>1.0</v>
      </c>
      <c r="L479" s="18">
        <v>879.78</v>
      </c>
      <c r="M479" s="16" t="s">
        <v>1085</v>
      </c>
      <c r="N479" s="16" t="s">
        <v>1086</v>
      </c>
      <c r="O479" s="16" t="s">
        <v>1087</v>
      </c>
    </row>
    <row r="480" ht="15.75" customHeight="1">
      <c r="A480" s="19">
        <v>45587.0</v>
      </c>
      <c r="B480" s="16" t="s">
        <v>58</v>
      </c>
      <c r="C480" s="16" t="str">
        <f t="shared" si="1"/>
        <v>Guadalajara</v>
      </c>
      <c r="D480" s="16" t="str">
        <f t="shared" si="2"/>
        <v>Guadalajara</v>
      </c>
      <c r="E480" s="16" t="str">
        <f t="shared" si="3"/>
        <v>Guadalajara</v>
      </c>
      <c r="F480" s="16" t="s">
        <v>36</v>
      </c>
      <c r="G480" s="17" t="str">
        <f>IFERROR(__xludf.DUMMYFUNCTION("SPLIT(F480:F1479,""-"") "),"Tablet")</f>
        <v>Tablet</v>
      </c>
      <c r="H480" s="16" t="str">
        <f>IFERROR(__xludf.DUMMYFUNCTION("""COMPUTED_VALUE"""),"Pro")</f>
        <v>Pro</v>
      </c>
      <c r="I480" s="16" t="str">
        <f>IFERROR(__xludf.DUMMYFUNCTION("""COMPUTED_VALUE"""),"4GB")</f>
        <v>4GB</v>
      </c>
      <c r="J480" s="18">
        <v>205.25</v>
      </c>
      <c r="K480" s="16">
        <v>3.0</v>
      </c>
      <c r="L480" s="18">
        <v>615.75</v>
      </c>
      <c r="M480" s="16" t="s">
        <v>520</v>
      </c>
      <c r="N480" s="16" t="s">
        <v>521</v>
      </c>
      <c r="O480" s="16" t="s">
        <v>522</v>
      </c>
    </row>
    <row r="481" ht="15.75" customHeight="1">
      <c r="A481" s="19">
        <v>45645.0</v>
      </c>
      <c r="B481" s="16" t="s">
        <v>35</v>
      </c>
      <c r="C481" s="16" t="str">
        <f t="shared" si="1"/>
        <v>Medellín</v>
      </c>
      <c r="D481" s="16" t="str">
        <f t="shared" si="2"/>
        <v>Medellín</v>
      </c>
      <c r="E481" s="16" t="str">
        <f t="shared" si="3"/>
        <v>Medellín</v>
      </c>
      <c r="F481" s="16" t="s">
        <v>71</v>
      </c>
      <c r="G481" s="17" t="str">
        <f>IFERROR(__xludf.DUMMYFUNCTION("SPLIT(F481:F1480,""-"") "),"Auriculares")</f>
        <v>Auriculares</v>
      </c>
      <c r="H481" s="16" t="str">
        <f>IFERROR(__xludf.DUMMYFUNCTION("""COMPUTED_VALUE"""),"Bluetooth")</f>
        <v>Bluetooth</v>
      </c>
      <c r="I481" s="16" t="str">
        <f>IFERROR(__xludf.DUMMYFUNCTION("""COMPUTED_VALUE"""),"16GB")</f>
        <v>16GB</v>
      </c>
      <c r="J481" s="18">
        <v>2309.76</v>
      </c>
      <c r="K481" s="16">
        <v>5.0</v>
      </c>
      <c r="L481" s="18">
        <v>11548.8</v>
      </c>
      <c r="M481" s="16" t="s">
        <v>1981</v>
      </c>
      <c r="N481" s="16" t="s">
        <v>1982</v>
      </c>
      <c r="O481" s="16" t="s">
        <v>1983</v>
      </c>
    </row>
    <row r="482" ht="15.75" customHeight="1">
      <c r="A482" s="23">
        <v>45423.0</v>
      </c>
      <c r="B482" s="16" t="s">
        <v>14</v>
      </c>
      <c r="C482" s="16" t="str">
        <f t="shared" si="1"/>
        <v>Bogotá</v>
      </c>
      <c r="D482" s="16" t="str">
        <f t="shared" si="2"/>
        <v>Bogotá</v>
      </c>
      <c r="E482" s="16" t="str">
        <f t="shared" si="3"/>
        <v>Bogotá</v>
      </c>
      <c r="F482" s="16" t="s">
        <v>81</v>
      </c>
      <c r="G482" s="17" t="str">
        <f>IFERROR(__xludf.DUMMYFUNCTION("SPLIT(F482:F1481,""-"") "),"Laptop")</f>
        <v>Laptop</v>
      </c>
      <c r="H482" s="16" t="str">
        <f>IFERROR(__xludf.DUMMYFUNCTION("""COMPUTED_VALUE"""),"Oficina")</f>
        <v>Oficina</v>
      </c>
      <c r="I482" s="16" t="str">
        <f>IFERROR(__xludf.DUMMYFUNCTION("""COMPUTED_VALUE"""),"16GB")</f>
        <v>16GB</v>
      </c>
      <c r="J482" s="18">
        <v>1540.33</v>
      </c>
      <c r="K482" s="16">
        <v>1.0</v>
      </c>
      <c r="L482" s="18">
        <v>1540.33</v>
      </c>
      <c r="M482" s="16" t="s">
        <v>2719</v>
      </c>
      <c r="N482" s="16" t="s">
        <v>2720</v>
      </c>
      <c r="O482" s="16" t="s">
        <v>2721</v>
      </c>
    </row>
    <row r="483" ht="15.75" customHeight="1">
      <c r="A483" s="23">
        <v>45362.0</v>
      </c>
      <c r="B483" s="16" t="s">
        <v>75</v>
      </c>
      <c r="C483" s="16" t="str">
        <f t="shared" si="1"/>
        <v>Cali</v>
      </c>
      <c r="D483" s="16" t="str">
        <f t="shared" si="2"/>
        <v>Cali</v>
      </c>
      <c r="E483" s="16" t="str">
        <f t="shared" si="3"/>
        <v>Cali</v>
      </c>
      <c r="F483" s="16" t="s">
        <v>255</v>
      </c>
      <c r="G483" s="17" t="str">
        <f>IFERROR(__xludf.DUMMYFUNCTION("SPLIT(F483:F1482,""-"") "),"Auriculares")</f>
        <v>Auriculares</v>
      </c>
      <c r="H483" s="16" t="str">
        <f>IFERROR(__xludf.DUMMYFUNCTION("""COMPUTED_VALUE"""),"Bluetooth")</f>
        <v>Bluetooth</v>
      </c>
      <c r="I483" s="16" t="str">
        <f>IFERROR(__xludf.DUMMYFUNCTION("""COMPUTED_VALUE"""),"8GB")</f>
        <v>8GB</v>
      </c>
      <c r="J483" s="18">
        <v>1018.4</v>
      </c>
      <c r="K483" s="16">
        <v>5.0</v>
      </c>
      <c r="L483" s="18">
        <v>5092.0</v>
      </c>
      <c r="M483" s="16" t="s">
        <v>2722</v>
      </c>
      <c r="N483" s="16" t="s">
        <v>2723</v>
      </c>
      <c r="O483" s="16" t="s">
        <v>2724</v>
      </c>
    </row>
    <row r="484" ht="15.75" customHeight="1">
      <c r="A484" s="23">
        <v>45302.0</v>
      </c>
      <c r="B484" s="16" t="s">
        <v>35</v>
      </c>
      <c r="C484" s="16" t="str">
        <f t="shared" si="1"/>
        <v>Medellín</v>
      </c>
      <c r="D484" s="16" t="str">
        <f t="shared" si="2"/>
        <v>Medellín</v>
      </c>
      <c r="E484" s="16" t="str">
        <f t="shared" si="3"/>
        <v>Medellín</v>
      </c>
      <c r="F484" s="16" t="s">
        <v>369</v>
      </c>
      <c r="G484" s="17" t="str">
        <f>IFERROR(__xludf.DUMMYFUNCTION("SPLIT(F484:F1483,""-"") "),"Auriculares")</f>
        <v>Auriculares</v>
      </c>
      <c r="H484" s="16" t="str">
        <f>IFERROR(__xludf.DUMMYFUNCTION("""COMPUTED_VALUE"""),"Con cable")</f>
        <v>Con cable</v>
      </c>
      <c r="I484" s="16" t="str">
        <f>IFERROR(__xludf.DUMMYFUNCTION("""COMPUTED_VALUE"""),"4GB")</f>
        <v>4GB</v>
      </c>
      <c r="J484" s="18">
        <v>1058.81</v>
      </c>
      <c r="K484" s="16">
        <v>3.0</v>
      </c>
      <c r="L484" s="18">
        <v>3176.43</v>
      </c>
      <c r="M484" s="16" t="s">
        <v>2725</v>
      </c>
      <c r="N484" s="16" t="s">
        <v>2726</v>
      </c>
      <c r="O484" s="16" t="s">
        <v>2727</v>
      </c>
    </row>
    <row r="485" ht="15.75" customHeight="1">
      <c r="A485" s="19">
        <v>45626.0</v>
      </c>
      <c r="B485" s="16" t="s">
        <v>35</v>
      </c>
      <c r="C485" s="16" t="str">
        <f t="shared" si="1"/>
        <v>Medellín</v>
      </c>
      <c r="D485" s="16" t="str">
        <f t="shared" si="2"/>
        <v>Medellín</v>
      </c>
      <c r="E485" s="16" t="str">
        <f t="shared" si="3"/>
        <v>Medellín</v>
      </c>
      <c r="F485" s="16" t="s">
        <v>40</v>
      </c>
      <c r="G485" s="17" t="str">
        <f>IFERROR(__xludf.DUMMYFUNCTION("SPLIT(F485:F1484,""-"") "),"Auriculares")</f>
        <v>Auriculares</v>
      </c>
      <c r="H485" s="16" t="str">
        <f>IFERROR(__xludf.DUMMYFUNCTION("""COMPUTED_VALUE"""),"Con cable")</f>
        <v>Con cable</v>
      </c>
      <c r="I485" s="16" t="str">
        <f>IFERROR(__xludf.DUMMYFUNCTION("""COMPUTED_VALUE"""),"8GB")</f>
        <v>8GB</v>
      </c>
      <c r="J485" s="18">
        <v>890.66</v>
      </c>
      <c r="K485" s="16">
        <v>1.0</v>
      </c>
      <c r="L485" s="18">
        <v>890.66</v>
      </c>
      <c r="M485" s="16" t="s">
        <v>1620</v>
      </c>
      <c r="N485" s="16" t="s">
        <v>1621</v>
      </c>
      <c r="O485" s="16" t="s">
        <v>1622</v>
      </c>
    </row>
    <row r="486" ht="15.75" customHeight="1">
      <c r="A486" s="19">
        <v>45622.0</v>
      </c>
      <c r="B486" s="16" t="s">
        <v>14</v>
      </c>
      <c r="C486" s="16" t="str">
        <f t="shared" si="1"/>
        <v>Bogotá</v>
      </c>
      <c r="D486" s="16" t="str">
        <f t="shared" si="2"/>
        <v>Bogotá</v>
      </c>
      <c r="E486" s="16" t="str">
        <f t="shared" si="3"/>
        <v>Bogotá</v>
      </c>
      <c r="F486" s="16" t="s">
        <v>292</v>
      </c>
      <c r="G486" s="17" t="str">
        <f>IFERROR(__xludf.DUMMYFUNCTION("SPLIT(F486:F1485,""-"") "),"Teléfono")</f>
        <v>Teléfono</v>
      </c>
      <c r="H486" s="16" t="str">
        <f>IFERROR(__xludf.DUMMYFUNCTION("""COMPUTED_VALUE"""),"Gama alta")</f>
        <v>Gama alta</v>
      </c>
      <c r="I486" s="16" t="str">
        <f>IFERROR(__xludf.DUMMYFUNCTION("""COMPUTED_VALUE"""),"16GB")</f>
        <v>16GB</v>
      </c>
      <c r="J486" s="18">
        <v>252.24</v>
      </c>
      <c r="K486" s="16">
        <v>5.0</v>
      </c>
      <c r="L486" s="18">
        <v>1261.2</v>
      </c>
      <c r="M486" s="16" t="s">
        <v>1520</v>
      </c>
      <c r="N486" s="16" t="s">
        <v>1521</v>
      </c>
      <c r="O486" s="16" t="s">
        <v>1522</v>
      </c>
    </row>
    <row r="487" ht="15.75" customHeight="1">
      <c r="A487" s="23">
        <v>45303.0</v>
      </c>
      <c r="B487" s="16" t="s">
        <v>9</v>
      </c>
      <c r="C487" s="16" t="str">
        <f t="shared" si="1"/>
        <v>Monterrey</v>
      </c>
      <c r="D487" s="16" t="str">
        <f t="shared" si="2"/>
        <v>Monterrey</v>
      </c>
      <c r="E487" s="16" t="str">
        <f t="shared" si="3"/>
        <v>Monterrey</v>
      </c>
      <c r="F487" s="16" t="s">
        <v>229</v>
      </c>
      <c r="G487" s="17" t="str">
        <f>IFERROR(__xludf.DUMMYFUNCTION("SPLIT(F487:F1486,""-"") "),"Laptop")</f>
        <v>Laptop</v>
      </c>
      <c r="H487" s="16" t="str">
        <f>IFERROR(__xludf.DUMMYFUNCTION("""COMPUTED_VALUE"""),"Oficina")</f>
        <v>Oficina</v>
      </c>
      <c r="I487" s="16" t="str">
        <f>IFERROR(__xludf.DUMMYFUNCTION("""COMPUTED_VALUE"""),"4GB")</f>
        <v>4GB</v>
      </c>
      <c r="J487" s="18">
        <v>1705.74</v>
      </c>
      <c r="K487" s="16">
        <v>4.0</v>
      </c>
      <c r="L487" s="18">
        <v>6822.96</v>
      </c>
      <c r="M487" s="16" t="s">
        <v>2728</v>
      </c>
      <c r="N487" s="16" t="s">
        <v>2729</v>
      </c>
      <c r="O487" s="16" t="s">
        <v>2730</v>
      </c>
    </row>
    <row r="488" ht="15.75" customHeight="1">
      <c r="A488" s="19">
        <v>45580.0</v>
      </c>
      <c r="B488" s="16" t="s">
        <v>58</v>
      </c>
      <c r="C488" s="16" t="str">
        <f t="shared" si="1"/>
        <v>Guadalajara</v>
      </c>
      <c r="D488" s="16" t="str">
        <f t="shared" si="2"/>
        <v>Guadalajara</v>
      </c>
      <c r="E488" s="16" t="str">
        <f t="shared" si="3"/>
        <v>Guadalajara</v>
      </c>
      <c r="F488" s="16" t="s">
        <v>71</v>
      </c>
      <c r="G488" s="17" t="str">
        <f>IFERROR(__xludf.DUMMYFUNCTION("SPLIT(F488:F1487,""-"") "),"Auriculares")</f>
        <v>Auriculares</v>
      </c>
      <c r="H488" s="16" t="str">
        <f>IFERROR(__xludf.DUMMYFUNCTION("""COMPUTED_VALUE"""),"Bluetooth")</f>
        <v>Bluetooth</v>
      </c>
      <c r="I488" s="16" t="str">
        <f>IFERROR(__xludf.DUMMYFUNCTION("""COMPUTED_VALUE"""),"16GB")</f>
        <v>16GB</v>
      </c>
      <c r="J488" s="18">
        <v>2289.42</v>
      </c>
      <c r="K488" s="16">
        <v>4.0</v>
      </c>
      <c r="L488" s="18">
        <v>9157.68</v>
      </c>
      <c r="M488" s="16" t="s">
        <v>279</v>
      </c>
      <c r="N488" s="16" t="s">
        <v>280</v>
      </c>
      <c r="O488" s="16" t="s">
        <v>281</v>
      </c>
    </row>
    <row r="489" ht="15.75" customHeight="1">
      <c r="A489" s="19">
        <v>45642.0</v>
      </c>
      <c r="B489" s="16" t="s">
        <v>58</v>
      </c>
      <c r="C489" s="16" t="str">
        <f t="shared" si="1"/>
        <v>Guadalajara</v>
      </c>
      <c r="D489" s="16" t="str">
        <f t="shared" si="2"/>
        <v>Guadalajara</v>
      </c>
      <c r="E489" s="16" t="str">
        <f t="shared" si="3"/>
        <v>Guadalajara</v>
      </c>
      <c r="F489" s="16" t="s">
        <v>63</v>
      </c>
      <c r="G489" s="17" t="str">
        <f>IFERROR(__xludf.DUMMYFUNCTION("SPLIT(F489:F1488,""-"") "),"Laptop")</f>
        <v>Laptop</v>
      </c>
      <c r="H489" s="16" t="str">
        <f>IFERROR(__xludf.DUMMYFUNCTION("""COMPUTED_VALUE"""),"Ultraliviana")</f>
        <v>Ultraliviana</v>
      </c>
      <c r="I489" s="16" t="str">
        <f>IFERROR(__xludf.DUMMYFUNCTION("""COMPUTED_VALUE"""),"4GB")</f>
        <v>4GB</v>
      </c>
      <c r="J489" s="18">
        <v>2281.01</v>
      </c>
      <c r="K489" s="16">
        <v>4.0</v>
      </c>
      <c r="L489" s="18">
        <v>9124.04</v>
      </c>
      <c r="M489" s="16" t="s">
        <v>1894</v>
      </c>
      <c r="N489" s="16" t="s">
        <v>1895</v>
      </c>
      <c r="O489" s="16" t="s">
        <v>1896</v>
      </c>
    </row>
    <row r="490" ht="15.75" customHeight="1">
      <c r="A490" s="19">
        <v>45582.0</v>
      </c>
      <c r="B490" s="16" t="s">
        <v>2359</v>
      </c>
      <c r="C490" s="16" t="str">
        <f t="shared" si="1"/>
        <v>Ciudad De M√©Xico</v>
      </c>
      <c r="D490" s="16" t="str">
        <f t="shared" si="2"/>
        <v>Ciudad De M√©Xico</v>
      </c>
      <c r="E490" s="16" t="str">
        <f t="shared" si="3"/>
        <v>Ciudad De MéXico</v>
      </c>
      <c r="F490" s="16" t="s">
        <v>139</v>
      </c>
      <c r="G490" s="17" t="str">
        <f>IFERROR(__xludf.DUMMYFUNCTION("SPLIT(F490:F1489,""-"") "),"Auriculares")</f>
        <v>Auriculares</v>
      </c>
      <c r="H490" s="16" t="str">
        <f>IFERROR(__xludf.DUMMYFUNCTION("""COMPUTED_VALUE"""),"Con cable")</f>
        <v>Con cable</v>
      </c>
      <c r="I490" s="16" t="str">
        <f>IFERROR(__xludf.DUMMYFUNCTION("""COMPUTED_VALUE"""),"16GB")</f>
        <v>16GB</v>
      </c>
      <c r="J490" s="18">
        <v>1093.69</v>
      </c>
      <c r="K490" s="16">
        <v>1.0</v>
      </c>
      <c r="L490" s="18">
        <v>1093.69</v>
      </c>
      <c r="M490" s="16" t="s">
        <v>360</v>
      </c>
      <c r="N490" s="16" t="s">
        <v>361</v>
      </c>
      <c r="O490" s="16" t="s">
        <v>362</v>
      </c>
    </row>
    <row r="491" ht="15.75" customHeight="1">
      <c r="A491" s="19">
        <v>45592.0</v>
      </c>
      <c r="B491" s="16" t="s">
        <v>2359</v>
      </c>
      <c r="C491" s="16" t="str">
        <f t="shared" si="1"/>
        <v>Ciudad De M√©Xico</v>
      </c>
      <c r="D491" s="16" t="str">
        <f t="shared" si="2"/>
        <v>Ciudad De M√©Xico</v>
      </c>
      <c r="E491" s="16" t="str">
        <f t="shared" si="3"/>
        <v>Ciudad De MéXico</v>
      </c>
      <c r="F491" s="16" t="s">
        <v>81</v>
      </c>
      <c r="G491" s="17" t="str">
        <f>IFERROR(__xludf.DUMMYFUNCTION("SPLIT(F491:F1490,""-"") "),"Laptop")</f>
        <v>Laptop</v>
      </c>
      <c r="H491" s="16" t="str">
        <f>IFERROR(__xludf.DUMMYFUNCTION("""COMPUTED_VALUE"""),"Oficina")</f>
        <v>Oficina</v>
      </c>
      <c r="I491" s="16" t="str">
        <f>IFERROR(__xludf.DUMMYFUNCTION("""COMPUTED_VALUE"""),"16GB")</f>
        <v>16GB</v>
      </c>
      <c r="J491" s="18">
        <v>233.85</v>
      </c>
      <c r="K491" s="16">
        <v>3.0</v>
      </c>
      <c r="L491" s="18">
        <v>701.55</v>
      </c>
      <c r="M491" s="16" t="s">
        <v>679</v>
      </c>
      <c r="N491" s="16" t="s">
        <v>680</v>
      </c>
      <c r="O491" s="16" t="s">
        <v>681</v>
      </c>
    </row>
    <row r="492" ht="15.75" customHeight="1">
      <c r="A492" s="19">
        <v>45593.0</v>
      </c>
      <c r="B492" s="16" t="s">
        <v>9</v>
      </c>
      <c r="C492" s="16" t="str">
        <f t="shared" si="1"/>
        <v>Monterrey</v>
      </c>
      <c r="D492" s="16" t="str">
        <f t="shared" si="2"/>
        <v>Monterrey</v>
      </c>
      <c r="E492" s="16" t="str">
        <f t="shared" si="3"/>
        <v>Monterrey</v>
      </c>
      <c r="F492" s="16" t="s">
        <v>186</v>
      </c>
      <c r="G492" s="17" t="str">
        <f>IFERROR(__xludf.DUMMYFUNCTION("SPLIT(F492:F1491,""-"") "),"Auriculares")</f>
        <v>Auriculares</v>
      </c>
      <c r="H492" s="16" t="str">
        <f>IFERROR(__xludf.DUMMYFUNCTION("""COMPUTED_VALUE"""),"Cancelaci√≥n de ruido")</f>
        <v>Cancelaci√≥n de ruido</v>
      </c>
      <c r="I492" s="16" t="str">
        <f>IFERROR(__xludf.DUMMYFUNCTION("""COMPUTED_VALUE"""),"16GB")</f>
        <v>16GB</v>
      </c>
      <c r="J492" s="18">
        <v>1779.34</v>
      </c>
      <c r="K492" s="16">
        <v>3.0</v>
      </c>
      <c r="L492" s="18">
        <v>5338.02</v>
      </c>
      <c r="M492" s="16" t="s">
        <v>706</v>
      </c>
      <c r="N492" s="16" t="s">
        <v>707</v>
      </c>
      <c r="O492" s="16" t="s">
        <v>708</v>
      </c>
    </row>
    <row r="493" ht="15.75" customHeight="1">
      <c r="A493" s="23">
        <v>45516.0</v>
      </c>
      <c r="B493" s="16" t="s">
        <v>14</v>
      </c>
      <c r="C493" s="16" t="str">
        <f t="shared" si="1"/>
        <v>Bogotá</v>
      </c>
      <c r="D493" s="16" t="str">
        <f t="shared" si="2"/>
        <v>Bogotá</v>
      </c>
      <c r="E493" s="16" t="str">
        <f t="shared" si="3"/>
        <v>Bogotá</v>
      </c>
      <c r="F493" s="16" t="s">
        <v>167</v>
      </c>
      <c r="G493" s="17" t="str">
        <f>IFERROR(__xludf.DUMMYFUNCTION("SPLIT(F493:F1492,""-"") "),"Auriculares")</f>
        <v>Auriculares</v>
      </c>
      <c r="H493" s="16" t="str">
        <f>IFERROR(__xludf.DUMMYFUNCTION("""COMPUTED_VALUE"""),"Bluetooth")</f>
        <v>Bluetooth</v>
      </c>
      <c r="I493" s="16" t="str">
        <f>IFERROR(__xludf.DUMMYFUNCTION("""COMPUTED_VALUE"""),"32GB")</f>
        <v>32GB</v>
      </c>
      <c r="J493" s="18">
        <v>1490.57</v>
      </c>
      <c r="K493" s="16">
        <v>3.0</v>
      </c>
      <c r="L493" s="18">
        <v>4471.71</v>
      </c>
      <c r="M493" s="16" t="s">
        <v>2731</v>
      </c>
      <c r="N493" s="16" t="s">
        <v>2732</v>
      </c>
      <c r="O493" s="16" t="s">
        <v>2733</v>
      </c>
    </row>
    <row r="494" ht="15.75" customHeight="1">
      <c r="A494" s="19">
        <v>45649.0</v>
      </c>
      <c r="B494" s="16" t="s">
        <v>9</v>
      </c>
      <c r="C494" s="16" t="str">
        <f t="shared" si="1"/>
        <v>Monterrey</v>
      </c>
      <c r="D494" s="16" t="str">
        <f t="shared" si="2"/>
        <v>Monterrey</v>
      </c>
      <c r="E494" s="16" t="str">
        <f t="shared" si="3"/>
        <v>Monterrey</v>
      </c>
      <c r="F494" s="16" t="s">
        <v>311</v>
      </c>
      <c r="G494" s="17" t="str">
        <f>IFERROR(__xludf.DUMMYFUNCTION("SPLIT(F494:F1493,""-"") "),"Laptop")</f>
        <v>Laptop</v>
      </c>
      <c r="H494" s="16" t="str">
        <f>IFERROR(__xludf.DUMMYFUNCTION("""COMPUTED_VALUE"""),"Ultraliviana")</f>
        <v>Ultraliviana</v>
      </c>
      <c r="I494" s="16" t="str">
        <f>IFERROR(__xludf.DUMMYFUNCTION("""COMPUTED_VALUE"""),"32GB")</f>
        <v>32GB</v>
      </c>
      <c r="J494" s="18">
        <v>1696.63</v>
      </c>
      <c r="K494" s="16">
        <v>4.0</v>
      </c>
      <c r="L494" s="18">
        <v>6786.52</v>
      </c>
      <c r="M494" s="16" t="s">
        <v>2105</v>
      </c>
      <c r="N494" s="16" t="s">
        <v>2106</v>
      </c>
      <c r="O494" s="16" t="s">
        <v>2107</v>
      </c>
    </row>
    <row r="495" ht="15.75" customHeight="1">
      <c r="A495" s="23">
        <v>45454.0</v>
      </c>
      <c r="B495" s="16" t="s">
        <v>35</v>
      </c>
      <c r="C495" s="16" t="str">
        <f t="shared" si="1"/>
        <v>Medellín</v>
      </c>
      <c r="D495" s="16" t="str">
        <f t="shared" si="2"/>
        <v>Medellín</v>
      </c>
      <c r="E495" s="16" t="str">
        <f t="shared" si="3"/>
        <v>Medellín</v>
      </c>
      <c r="F495" s="16" t="s">
        <v>344</v>
      </c>
      <c r="G495" s="17" t="str">
        <f>IFERROR(__xludf.DUMMYFUNCTION("SPLIT(F495:F1494,""-"") "),"Laptop")</f>
        <v>Laptop</v>
      </c>
      <c r="H495" s="16" t="str">
        <f>IFERROR(__xludf.DUMMYFUNCTION("""COMPUTED_VALUE"""),"Ultraliviana")</f>
        <v>Ultraliviana</v>
      </c>
      <c r="I495" s="16" t="str">
        <f>IFERROR(__xludf.DUMMYFUNCTION("""COMPUTED_VALUE"""),"8GB")</f>
        <v>8GB</v>
      </c>
      <c r="J495" s="18">
        <v>942.47</v>
      </c>
      <c r="K495" s="16">
        <v>2.0</v>
      </c>
      <c r="L495" s="18">
        <v>1884.94</v>
      </c>
      <c r="M495" s="16" t="s">
        <v>2734</v>
      </c>
      <c r="N495" s="16" t="s">
        <v>2735</v>
      </c>
      <c r="O495" s="16" t="s">
        <v>2736</v>
      </c>
    </row>
    <row r="496" ht="15.75" customHeight="1">
      <c r="A496" s="19">
        <v>45656.0</v>
      </c>
      <c r="B496" s="16" t="s">
        <v>75</v>
      </c>
      <c r="C496" s="16" t="str">
        <f t="shared" si="1"/>
        <v>Cali</v>
      </c>
      <c r="D496" s="16" t="str">
        <f t="shared" si="2"/>
        <v>Cali</v>
      </c>
      <c r="E496" s="16" t="str">
        <f t="shared" si="3"/>
        <v>Cali</v>
      </c>
      <c r="F496" s="16" t="s">
        <v>666</v>
      </c>
      <c r="G496" s="17" t="str">
        <f>IFERROR(__xludf.DUMMYFUNCTION("SPLIT(F496:F1495,""-"") "),"Auriculares")</f>
        <v>Auriculares</v>
      </c>
      <c r="H496" s="16" t="str">
        <f>IFERROR(__xludf.DUMMYFUNCTION("""COMPUTED_VALUE"""),"Cancelación de ruido")</f>
        <v>Cancelación de ruido</v>
      </c>
      <c r="I496" s="16" t="str">
        <f>IFERROR(__xludf.DUMMYFUNCTION("""COMPUTED_VALUE"""),"32GB")</f>
        <v>32GB</v>
      </c>
      <c r="J496" s="18">
        <v>2064.92</v>
      </c>
      <c r="K496" s="16">
        <v>3.0</v>
      </c>
      <c r="L496" s="18">
        <v>6194.76</v>
      </c>
      <c r="M496" s="16" t="s">
        <v>2315</v>
      </c>
      <c r="N496" s="16" t="s">
        <v>2316</v>
      </c>
      <c r="O496" s="21" t="s">
        <v>2317</v>
      </c>
    </row>
    <row r="497" ht="15.75" customHeight="1">
      <c r="A497" s="23">
        <v>45577.0</v>
      </c>
      <c r="B497" s="16" t="s">
        <v>58</v>
      </c>
      <c r="C497" s="16" t="str">
        <f t="shared" si="1"/>
        <v>Guadalajara</v>
      </c>
      <c r="D497" s="16" t="str">
        <f t="shared" si="2"/>
        <v>Guadalajara</v>
      </c>
      <c r="E497" s="16" t="str">
        <f t="shared" si="3"/>
        <v>Guadalajara</v>
      </c>
      <c r="F497" s="16" t="s">
        <v>171</v>
      </c>
      <c r="G497" s="17" t="str">
        <f>IFERROR(__xludf.DUMMYFUNCTION("SPLIT(F497:F1496,""-"") "),"Teléfono")</f>
        <v>Teléfono</v>
      </c>
      <c r="H497" s="16" t="str">
        <f>IFERROR(__xludf.DUMMYFUNCTION("""COMPUTED_VALUE"""),"Gama baja")</f>
        <v>Gama baja</v>
      </c>
      <c r="I497" s="16" t="str">
        <f>IFERROR(__xludf.DUMMYFUNCTION("""COMPUTED_VALUE"""),"4GB")</f>
        <v>4GB</v>
      </c>
      <c r="J497" s="18">
        <v>2182.77</v>
      </c>
      <c r="K497" s="16">
        <v>3.0</v>
      </c>
      <c r="L497" s="18">
        <v>6548.31</v>
      </c>
      <c r="M497" s="16" t="s">
        <v>172</v>
      </c>
      <c r="N497" s="16" t="s">
        <v>173</v>
      </c>
      <c r="O497" s="16" t="s">
        <v>174</v>
      </c>
    </row>
    <row r="498" ht="15.75" customHeight="1">
      <c r="A498" s="19">
        <v>45618.0</v>
      </c>
      <c r="B498" s="16" t="s">
        <v>75</v>
      </c>
      <c r="C498" s="16" t="str">
        <f t="shared" si="1"/>
        <v>Cali</v>
      </c>
      <c r="D498" s="16" t="str">
        <f t="shared" si="2"/>
        <v>Cali</v>
      </c>
      <c r="E498" s="16" t="str">
        <f t="shared" si="3"/>
        <v>Cali</v>
      </c>
      <c r="F498" s="16" t="s">
        <v>50</v>
      </c>
      <c r="G498" s="17" t="str">
        <f>IFERROR(__xludf.DUMMYFUNCTION("SPLIT(F498:F1497,""-"") "),"Tablet")</f>
        <v>Tablet</v>
      </c>
      <c r="H498" s="16" t="str">
        <f>IFERROR(__xludf.DUMMYFUNCTION("""COMPUTED_VALUE"""),"Estándar")</f>
        <v>Estándar</v>
      </c>
      <c r="I498" s="16" t="str">
        <f>IFERROR(__xludf.DUMMYFUNCTION("""COMPUTED_VALUE"""),"32GB")</f>
        <v>32GB</v>
      </c>
      <c r="J498" s="18">
        <v>1402.66</v>
      </c>
      <c r="K498" s="16">
        <v>5.0</v>
      </c>
      <c r="L498" s="18">
        <v>7013.3</v>
      </c>
      <c r="M498" s="16" t="s">
        <v>1380</v>
      </c>
      <c r="N498" s="16" t="s">
        <v>1381</v>
      </c>
      <c r="O498" s="16" t="s">
        <v>1382</v>
      </c>
    </row>
    <row r="499" ht="15.75" customHeight="1">
      <c r="A499" s="19">
        <v>45617.0</v>
      </c>
      <c r="B499" s="16" t="s">
        <v>58</v>
      </c>
      <c r="C499" s="16" t="str">
        <f t="shared" si="1"/>
        <v>Guadalajara</v>
      </c>
      <c r="D499" s="16" t="str">
        <f t="shared" si="2"/>
        <v>Guadalajara</v>
      </c>
      <c r="E499" s="16" t="str">
        <f t="shared" si="3"/>
        <v>Guadalajara</v>
      </c>
      <c r="F499" s="16" t="s">
        <v>430</v>
      </c>
      <c r="G499" s="17" t="str">
        <f>IFERROR(__xludf.DUMMYFUNCTION("SPLIT(F499:F1498,""-"") "),"Teléfono")</f>
        <v>Teléfono</v>
      </c>
      <c r="H499" s="16" t="str">
        <f>IFERROR(__xludf.DUMMYFUNCTION("""COMPUTED_VALUE"""),"Gama alta")</f>
        <v>Gama alta</v>
      </c>
      <c r="I499" s="16" t="str">
        <f>IFERROR(__xludf.DUMMYFUNCTION("""COMPUTED_VALUE"""),"4GB")</f>
        <v>4GB</v>
      </c>
      <c r="J499" s="18">
        <v>2420.41</v>
      </c>
      <c r="K499" s="16">
        <v>2.0</v>
      </c>
      <c r="L499" s="18">
        <v>4840.82</v>
      </c>
      <c r="M499" s="16" t="s">
        <v>1344</v>
      </c>
      <c r="N499" s="16" t="s">
        <v>1345</v>
      </c>
      <c r="O499" s="16" t="s">
        <v>1346</v>
      </c>
    </row>
    <row r="500" ht="15.75" customHeight="1">
      <c r="A500" s="23">
        <v>45453.0</v>
      </c>
      <c r="B500" s="16" t="s">
        <v>35</v>
      </c>
      <c r="C500" s="16" t="str">
        <f t="shared" si="1"/>
        <v>Medellín</v>
      </c>
      <c r="D500" s="16" t="str">
        <f t="shared" si="2"/>
        <v>Medellín</v>
      </c>
      <c r="E500" s="16" t="str">
        <f t="shared" si="3"/>
        <v>Medellín</v>
      </c>
      <c r="F500" s="16" t="s">
        <v>15</v>
      </c>
      <c r="G500" s="17" t="str">
        <f>IFERROR(__xludf.DUMMYFUNCTION("SPLIT(F500:F1499,""-"") "),"Auriculares")</f>
        <v>Auriculares</v>
      </c>
      <c r="H500" s="16" t="str">
        <f>IFERROR(__xludf.DUMMYFUNCTION("""COMPUTED_VALUE"""),"Con cable")</f>
        <v>Con cable</v>
      </c>
      <c r="I500" s="16" t="str">
        <f>IFERROR(__xludf.DUMMYFUNCTION("""COMPUTED_VALUE"""),"32GB")</f>
        <v>32GB</v>
      </c>
      <c r="J500" s="18">
        <v>2084.89</v>
      </c>
      <c r="K500" s="16">
        <v>5.0</v>
      </c>
      <c r="L500" s="18">
        <v>10424.45</v>
      </c>
      <c r="M500" s="16" t="s">
        <v>2737</v>
      </c>
      <c r="N500" s="16" t="s">
        <v>2738</v>
      </c>
      <c r="O500" s="16" t="s">
        <v>2739</v>
      </c>
    </row>
    <row r="501" ht="15.75" customHeight="1">
      <c r="A501" s="19">
        <v>45615.0</v>
      </c>
      <c r="B501" s="16" t="s">
        <v>14</v>
      </c>
      <c r="C501" s="16" t="str">
        <f t="shared" si="1"/>
        <v>Bogotá</v>
      </c>
      <c r="D501" s="16" t="str">
        <f t="shared" si="2"/>
        <v>Bogotá</v>
      </c>
      <c r="E501" s="16" t="str">
        <f t="shared" si="3"/>
        <v>Bogotá</v>
      </c>
      <c r="F501" s="16" t="s">
        <v>31</v>
      </c>
      <c r="G501" s="17" t="str">
        <f>IFERROR(__xludf.DUMMYFUNCTION("SPLIT(F501:F1500,""-"") "),"Teléfono")</f>
        <v>Teléfono</v>
      </c>
      <c r="H501" s="16" t="str">
        <f>IFERROR(__xludf.DUMMYFUNCTION("""COMPUTED_VALUE"""),"Gama alta")</f>
        <v>Gama alta</v>
      </c>
      <c r="I501" s="16" t="str">
        <f>IFERROR(__xludf.DUMMYFUNCTION("""COMPUTED_VALUE"""),"32GB")</f>
        <v>32GB</v>
      </c>
      <c r="J501" s="18">
        <v>173.04</v>
      </c>
      <c r="K501" s="16">
        <v>2.0</v>
      </c>
      <c r="L501" s="18">
        <v>346.08</v>
      </c>
      <c r="M501" s="16" t="s">
        <v>1278</v>
      </c>
      <c r="N501" s="16" t="s">
        <v>1279</v>
      </c>
      <c r="O501" s="16" t="s">
        <v>1280</v>
      </c>
    </row>
    <row r="502" ht="15.75" customHeight="1">
      <c r="A502" s="19">
        <v>45653.0</v>
      </c>
      <c r="B502" s="16" t="s">
        <v>14</v>
      </c>
      <c r="C502" s="16" t="str">
        <f t="shared" si="1"/>
        <v>Bogotá</v>
      </c>
      <c r="D502" s="16" t="str">
        <f t="shared" si="2"/>
        <v>Bogotá</v>
      </c>
      <c r="E502" s="16" t="str">
        <f t="shared" si="3"/>
        <v>Bogotá</v>
      </c>
      <c r="F502" s="16" t="s">
        <v>54</v>
      </c>
      <c r="G502" s="17" t="str">
        <f>IFERROR(__xludf.DUMMYFUNCTION("SPLIT(F502:F1501,""-"") "),"Laptop")</f>
        <v>Laptop</v>
      </c>
      <c r="H502" s="16" t="str">
        <f>IFERROR(__xludf.DUMMYFUNCTION("""COMPUTED_VALUE"""),"Oficina")</f>
        <v>Oficina</v>
      </c>
      <c r="I502" s="16" t="str">
        <f>IFERROR(__xludf.DUMMYFUNCTION("""COMPUTED_VALUE"""),"8GB")</f>
        <v>8GB</v>
      </c>
      <c r="J502" s="18">
        <v>1831.56</v>
      </c>
      <c r="K502" s="16">
        <v>2.0</v>
      </c>
      <c r="L502" s="18">
        <v>3663.12</v>
      </c>
      <c r="M502" s="16" t="s">
        <v>2222</v>
      </c>
      <c r="N502" s="16" t="s">
        <v>2223</v>
      </c>
      <c r="O502" s="16" t="s">
        <v>2224</v>
      </c>
    </row>
    <row r="503" ht="15.75" customHeight="1">
      <c r="A503" s="19">
        <v>45609.0</v>
      </c>
      <c r="B503" s="16" t="s">
        <v>58</v>
      </c>
      <c r="C503" s="16" t="str">
        <f t="shared" si="1"/>
        <v>Guadalajara</v>
      </c>
      <c r="D503" s="16" t="str">
        <f t="shared" si="2"/>
        <v>Guadalajara</v>
      </c>
      <c r="E503" s="16" t="str">
        <f t="shared" si="3"/>
        <v>Guadalajara</v>
      </c>
      <c r="F503" s="16" t="s">
        <v>186</v>
      </c>
      <c r="G503" s="17" t="str">
        <f>IFERROR(__xludf.DUMMYFUNCTION("SPLIT(F503:F1502,""-"") "),"Auriculares")</f>
        <v>Auriculares</v>
      </c>
      <c r="H503" s="16" t="str">
        <f>IFERROR(__xludf.DUMMYFUNCTION("""COMPUTED_VALUE"""),"Cancelaci√≥n de ruido")</f>
        <v>Cancelaci√≥n de ruido</v>
      </c>
      <c r="I503" s="16" t="str">
        <f>IFERROR(__xludf.DUMMYFUNCTION("""COMPUTED_VALUE"""),"16GB")</f>
        <v>16GB</v>
      </c>
      <c r="J503" s="18">
        <v>1899.66</v>
      </c>
      <c r="K503" s="16">
        <v>2.0</v>
      </c>
      <c r="L503" s="18">
        <v>3799.32</v>
      </c>
      <c r="M503" s="16" t="s">
        <v>1054</v>
      </c>
      <c r="N503" s="16" t="s">
        <v>1055</v>
      </c>
      <c r="O503" s="21" t="s">
        <v>1056</v>
      </c>
    </row>
    <row r="504" ht="15.75" customHeight="1">
      <c r="A504" s="19">
        <v>45618.0</v>
      </c>
      <c r="B504" s="16" t="s">
        <v>2359</v>
      </c>
      <c r="C504" s="16" t="str">
        <f t="shared" si="1"/>
        <v>Ciudad De M√©Xico</v>
      </c>
      <c r="D504" s="16" t="str">
        <f t="shared" si="2"/>
        <v>Ciudad De M√©Xico</v>
      </c>
      <c r="E504" s="16" t="str">
        <f t="shared" si="3"/>
        <v>Ciudad De MéXico</v>
      </c>
      <c r="F504" s="16" t="s">
        <v>10</v>
      </c>
      <c r="G504" s="17" t="str">
        <f>IFERROR(__xludf.DUMMYFUNCTION("SPLIT(F504:F1503,""-"") "),"Tablet")</f>
        <v>Tablet</v>
      </c>
      <c r="H504" s="16" t="str">
        <f>IFERROR(__xludf.DUMMYFUNCTION("""COMPUTED_VALUE"""),"Estándar")</f>
        <v>Estándar</v>
      </c>
      <c r="I504" s="16" t="str">
        <f>IFERROR(__xludf.DUMMYFUNCTION("""COMPUTED_VALUE"""),"8GB")</f>
        <v>8GB</v>
      </c>
      <c r="J504" s="18">
        <v>197.09</v>
      </c>
      <c r="K504" s="16">
        <v>3.0</v>
      </c>
      <c r="L504" s="18">
        <v>591.27</v>
      </c>
      <c r="M504" s="16" t="s">
        <v>1383</v>
      </c>
      <c r="N504" s="16" t="s">
        <v>1384</v>
      </c>
      <c r="O504" s="16" t="s">
        <v>1385</v>
      </c>
    </row>
    <row r="505" ht="15.75" customHeight="1">
      <c r="A505" s="19">
        <v>45654.0</v>
      </c>
      <c r="B505" s="16" t="s">
        <v>9</v>
      </c>
      <c r="C505" s="16" t="str">
        <f t="shared" si="1"/>
        <v>Monterrey</v>
      </c>
      <c r="D505" s="16" t="str">
        <f t="shared" si="2"/>
        <v>Monterrey</v>
      </c>
      <c r="E505" s="16" t="str">
        <f t="shared" si="3"/>
        <v>Monterrey</v>
      </c>
      <c r="F505" s="16" t="s">
        <v>139</v>
      </c>
      <c r="G505" s="17" t="str">
        <f>IFERROR(__xludf.DUMMYFUNCTION("SPLIT(F505:F1504,""-"") "),"Auriculares")</f>
        <v>Auriculares</v>
      </c>
      <c r="H505" s="16" t="str">
        <f>IFERROR(__xludf.DUMMYFUNCTION("""COMPUTED_VALUE"""),"Con cable")</f>
        <v>Con cable</v>
      </c>
      <c r="I505" s="16" t="str">
        <f>IFERROR(__xludf.DUMMYFUNCTION("""COMPUTED_VALUE"""),"16GB")</f>
        <v>16GB</v>
      </c>
      <c r="J505" s="18">
        <v>1577.5</v>
      </c>
      <c r="K505" s="16">
        <v>4.0</v>
      </c>
      <c r="L505" s="18">
        <v>6310.0</v>
      </c>
      <c r="M505" s="16" t="s">
        <v>2246</v>
      </c>
      <c r="N505" s="16" t="s">
        <v>2247</v>
      </c>
      <c r="O505" s="16" t="s">
        <v>2248</v>
      </c>
    </row>
    <row r="506" ht="15.75" customHeight="1">
      <c r="A506" s="19">
        <v>45592.0</v>
      </c>
      <c r="B506" s="16" t="s">
        <v>35</v>
      </c>
      <c r="C506" s="16" t="str">
        <f t="shared" si="1"/>
        <v>Medellín</v>
      </c>
      <c r="D506" s="16" t="str">
        <f t="shared" si="2"/>
        <v>Medellín</v>
      </c>
      <c r="E506" s="16" t="str">
        <f t="shared" si="3"/>
        <v>Medellín</v>
      </c>
      <c r="F506" s="16" t="s">
        <v>10</v>
      </c>
      <c r="G506" s="17" t="str">
        <f>IFERROR(__xludf.DUMMYFUNCTION("SPLIT(F506:F1505,""-"") "),"Tablet")</f>
        <v>Tablet</v>
      </c>
      <c r="H506" s="16" t="str">
        <f>IFERROR(__xludf.DUMMYFUNCTION("""COMPUTED_VALUE"""),"Estándar")</f>
        <v>Estándar</v>
      </c>
      <c r="I506" s="16" t="str">
        <f>IFERROR(__xludf.DUMMYFUNCTION("""COMPUTED_VALUE"""),"8GB")</f>
        <v>8GB</v>
      </c>
      <c r="J506" s="18">
        <v>832.37</v>
      </c>
      <c r="K506" s="16">
        <v>2.0</v>
      </c>
      <c r="L506" s="18">
        <v>1664.74</v>
      </c>
      <c r="M506" s="16" t="s">
        <v>682</v>
      </c>
      <c r="N506" s="16" t="s">
        <v>683</v>
      </c>
      <c r="O506" s="16" t="s">
        <v>684</v>
      </c>
    </row>
    <row r="507" ht="15.75" customHeight="1">
      <c r="A507" s="19">
        <v>45622.0</v>
      </c>
      <c r="B507" s="16" t="s">
        <v>2359</v>
      </c>
      <c r="C507" s="16" t="str">
        <f t="shared" si="1"/>
        <v>Ciudad De M√©Xico</v>
      </c>
      <c r="D507" s="16" t="str">
        <f t="shared" si="2"/>
        <v>Ciudad De M√©Xico</v>
      </c>
      <c r="E507" s="16" t="str">
        <f t="shared" si="3"/>
        <v>Ciudad De MéXico</v>
      </c>
      <c r="F507" s="16" t="s">
        <v>218</v>
      </c>
      <c r="G507" s="17" t="str">
        <f>IFERROR(__xludf.DUMMYFUNCTION("SPLIT(F507:F1506,""-"") "),"Teléfono")</f>
        <v>Teléfono</v>
      </c>
      <c r="H507" s="16" t="str">
        <f>IFERROR(__xludf.DUMMYFUNCTION("""COMPUTED_VALUE"""),"Gama media")</f>
        <v>Gama media</v>
      </c>
      <c r="I507" s="16" t="str">
        <f>IFERROR(__xludf.DUMMYFUNCTION("""COMPUTED_VALUE"""),"4GB")</f>
        <v>4GB</v>
      </c>
      <c r="J507" s="18">
        <v>1519.67</v>
      </c>
      <c r="K507" s="16">
        <v>4.0</v>
      </c>
      <c r="L507" s="18">
        <v>6078.68</v>
      </c>
      <c r="M507" s="16" t="s">
        <v>1523</v>
      </c>
      <c r="N507" s="16" t="s">
        <v>1524</v>
      </c>
      <c r="O507" s="16" t="s">
        <v>1525</v>
      </c>
    </row>
    <row r="508" ht="15.75" customHeight="1">
      <c r="A508" s="23">
        <v>45485.0</v>
      </c>
      <c r="B508" s="16" t="s">
        <v>2044</v>
      </c>
      <c r="C508" s="16" t="str">
        <f t="shared" si="1"/>
        <v>Monterrey</v>
      </c>
      <c r="D508" s="16" t="str">
        <f t="shared" si="2"/>
        <v>Monterrey</v>
      </c>
      <c r="E508" s="16" t="str">
        <f t="shared" si="3"/>
        <v>Monterrey</v>
      </c>
      <c r="F508" s="16" t="s">
        <v>292</v>
      </c>
      <c r="G508" s="17" t="str">
        <f>IFERROR(__xludf.DUMMYFUNCTION("SPLIT(F508:F1507,""-"") "),"Teléfono")</f>
        <v>Teléfono</v>
      </c>
      <c r="H508" s="16" t="str">
        <f>IFERROR(__xludf.DUMMYFUNCTION("""COMPUTED_VALUE"""),"Gama alta")</f>
        <v>Gama alta</v>
      </c>
      <c r="I508" s="16" t="str">
        <f>IFERROR(__xludf.DUMMYFUNCTION("""COMPUTED_VALUE"""),"16GB")</f>
        <v>16GB</v>
      </c>
      <c r="J508" s="18">
        <v>1947.2</v>
      </c>
      <c r="K508" s="16">
        <v>5.0</v>
      </c>
      <c r="L508" s="18">
        <v>9736.0</v>
      </c>
      <c r="M508" s="16" t="s">
        <v>2740</v>
      </c>
      <c r="N508" s="16" t="s">
        <v>2741</v>
      </c>
      <c r="O508" s="16" t="s">
        <v>2742</v>
      </c>
    </row>
    <row r="509" ht="15.75" customHeight="1">
      <c r="A509" s="19">
        <v>45619.0</v>
      </c>
      <c r="B509" s="16" t="s">
        <v>58</v>
      </c>
      <c r="C509" s="16" t="str">
        <f t="shared" si="1"/>
        <v>Guadalajara</v>
      </c>
      <c r="D509" s="16" t="str">
        <f t="shared" si="2"/>
        <v>Guadalajara</v>
      </c>
      <c r="E509" s="16" t="str">
        <f t="shared" si="3"/>
        <v>Guadalajara</v>
      </c>
      <c r="F509" s="16" t="s">
        <v>132</v>
      </c>
      <c r="G509" s="17" t="str">
        <f>IFERROR(__xludf.DUMMYFUNCTION("SPLIT(F509:F1508,""-"") "),"Tablet")</f>
        <v>Tablet</v>
      </c>
      <c r="H509" s="16" t="str">
        <f>IFERROR(__xludf.DUMMYFUNCTION("""COMPUTED_VALUE"""),"Pro")</f>
        <v>Pro</v>
      </c>
      <c r="I509" s="16" t="str">
        <f>IFERROR(__xludf.DUMMYFUNCTION("""COMPUTED_VALUE"""),"8GB")</f>
        <v>8GB</v>
      </c>
      <c r="J509" s="18">
        <v>793.75</v>
      </c>
      <c r="K509" s="16">
        <v>1.0</v>
      </c>
      <c r="L509" s="18">
        <v>793.75</v>
      </c>
      <c r="M509" s="16" t="s">
        <v>1417</v>
      </c>
      <c r="N509" s="16" t="s">
        <v>1418</v>
      </c>
      <c r="O509" s="16" t="s">
        <v>1419</v>
      </c>
    </row>
    <row r="510" ht="15.75" customHeight="1">
      <c r="A510" s="19">
        <v>45610.0</v>
      </c>
      <c r="B510" s="16" t="s">
        <v>35</v>
      </c>
      <c r="C510" s="16" t="str">
        <f t="shared" si="1"/>
        <v>Medellín</v>
      </c>
      <c r="D510" s="16" t="str">
        <f t="shared" si="2"/>
        <v>Medellín</v>
      </c>
      <c r="E510" s="16" t="str">
        <f t="shared" si="3"/>
        <v>Medellín</v>
      </c>
      <c r="F510" s="16" t="s">
        <v>10</v>
      </c>
      <c r="G510" s="17" t="str">
        <f>IFERROR(__xludf.DUMMYFUNCTION("SPLIT(F510:F1509,""-"") "),"Tablet")</f>
        <v>Tablet</v>
      </c>
      <c r="H510" s="16" t="str">
        <f>IFERROR(__xludf.DUMMYFUNCTION("""COMPUTED_VALUE"""),"Estándar")</f>
        <v>Estándar</v>
      </c>
      <c r="I510" s="16" t="str">
        <f>IFERROR(__xludf.DUMMYFUNCTION("""COMPUTED_VALUE"""),"8GB")</f>
        <v>8GB</v>
      </c>
      <c r="J510" s="18">
        <v>1001.15</v>
      </c>
      <c r="K510" s="16">
        <v>4.0</v>
      </c>
      <c r="L510" s="18">
        <v>4004.6</v>
      </c>
      <c r="M510" s="16" t="s">
        <v>1088</v>
      </c>
      <c r="N510" s="16" t="s">
        <v>1089</v>
      </c>
      <c r="O510" s="16" t="s">
        <v>1090</v>
      </c>
    </row>
    <row r="511" ht="15.75" customHeight="1">
      <c r="A511" s="23">
        <v>45424.0</v>
      </c>
      <c r="B511" s="16" t="s">
        <v>35</v>
      </c>
      <c r="C511" s="16" t="str">
        <f t="shared" si="1"/>
        <v>Medellín</v>
      </c>
      <c r="D511" s="16" t="str">
        <f t="shared" si="2"/>
        <v>Medellín</v>
      </c>
      <c r="E511" s="16" t="str">
        <f t="shared" si="3"/>
        <v>Medellín</v>
      </c>
      <c r="F511" s="16" t="s">
        <v>71</v>
      </c>
      <c r="G511" s="17" t="str">
        <f>IFERROR(__xludf.DUMMYFUNCTION("SPLIT(F511:F1510,""-"") "),"Auriculares")</f>
        <v>Auriculares</v>
      </c>
      <c r="H511" s="16" t="str">
        <f>IFERROR(__xludf.DUMMYFUNCTION("""COMPUTED_VALUE"""),"Bluetooth")</f>
        <v>Bluetooth</v>
      </c>
      <c r="I511" s="16" t="str">
        <f>IFERROR(__xludf.DUMMYFUNCTION("""COMPUTED_VALUE"""),"16GB")</f>
        <v>16GB</v>
      </c>
      <c r="J511" s="18">
        <v>1492.69</v>
      </c>
      <c r="K511" s="16">
        <v>5.0</v>
      </c>
      <c r="L511" s="18">
        <v>7463.45</v>
      </c>
      <c r="M511" s="16" t="s">
        <v>2743</v>
      </c>
      <c r="N511" s="16" t="s">
        <v>2744</v>
      </c>
      <c r="O511" s="16" t="s">
        <v>2745</v>
      </c>
    </row>
    <row r="512" ht="15.75" customHeight="1">
      <c r="A512" s="23">
        <v>45515.0</v>
      </c>
      <c r="B512" s="16" t="s">
        <v>58</v>
      </c>
      <c r="C512" s="16" t="str">
        <f t="shared" si="1"/>
        <v>Guadalajara</v>
      </c>
      <c r="D512" s="16" t="str">
        <f t="shared" si="2"/>
        <v>Guadalajara</v>
      </c>
      <c r="E512" s="16" t="str">
        <f t="shared" si="3"/>
        <v>Guadalajara</v>
      </c>
      <c r="F512" s="16" t="s">
        <v>163</v>
      </c>
      <c r="G512" s="17" t="str">
        <f>IFERROR(__xludf.DUMMYFUNCTION("SPLIT(F512:F1511,""-"") "),"Laptop")</f>
        <v>Laptop</v>
      </c>
      <c r="H512" s="16" t="str">
        <f>IFERROR(__xludf.DUMMYFUNCTION("""COMPUTED_VALUE"""),"Oficina")</f>
        <v>Oficina</v>
      </c>
      <c r="I512" s="16" t="str">
        <f>IFERROR(__xludf.DUMMYFUNCTION("""COMPUTED_VALUE"""),"32GB")</f>
        <v>32GB</v>
      </c>
      <c r="J512" s="18">
        <v>1228.88</v>
      </c>
      <c r="K512" s="16">
        <v>3.0</v>
      </c>
      <c r="L512" s="18">
        <v>3686.64</v>
      </c>
      <c r="M512" s="16" t="s">
        <v>2746</v>
      </c>
      <c r="N512" s="16" t="s">
        <v>2747</v>
      </c>
      <c r="O512" s="16" t="s">
        <v>2748</v>
      </c>
    </row>
    <row r="513" ht="15.75" customHeight="1">
      <c r="A513" s="19">
        <v>45655.0</v>
      </c>
      <c r="B513" s="16" t="s">
        <v>2359</v>
      </c>
      <c r="C513" s="16" t="str">
        <f t="shared" si="1"/>
        <v>Ciudad De M√©Xico</v>
      </c>
      <c r="D513" s="16" t="str">
        <f t="shared" si="2"/>
        <v>Ciudad De M√©Xico</v>
      </c>
      <c r="E513" s="16" t="str">
        <f t="shared" si="3"/>
        <v>Ciudad De MéXico</v>
      </c>
      <c r="F513" s="16" t="s">
        <v>373</v>
      </c>
      <c r="G513" s="17" t="str">
        <f>IFERROR(__xludf.DUMMYFUNCTION("SPLIT(F513:F1512,""-"") "),"Teléfono")</f>
        <v>Teléfono</v>
      </c>
      <c r="H513" s="16" t="str">
        <f>IFERROR(__xludf.DUMMYFUNCTION("""COMPUTED_VALUE"""),"Gama media")</f>
        <v>Gama media</v>
      </c>
      <c r="I513" s="16" t="str">
        <f>IFERROR(__xludf.DUMMYFUNCTION("""COMPUTED_VALUE"""),"16GB")</f>
        <v>16GB</v>
      </c>
      <c r="J513" s="18">
        <v>2068.09</v>
      </c>
      <c r="K513" s="16">
        <v>2.0</v>
      </c>
      <c r="L513" s="18">
        <v>4136.18</v>
      </c>
      <c r="M513" s="16" t="s">
        <v>2291</v>
      </c>
      <c r="N513" s="16" t="s">
        <v>2292</v>
      </c>
      <c r="O513" s="16" t="s">
        <v>2293</v>
      </c>
    </row>
    <row r="514" ht="15.75" customHeight="1">
      <c r="A514" s="19">
        <v>45587.0</v>
      </c>
      <c r="B514" s="16" t="s">
        <v>75</v>
      </c>
      <c r="C514" s="16" t="str">
        <f t="shared" si="1"/>
        <v>Cali</v>
      </c>
      <c r="D514" s="16" t="str">
        <f t="shared" si="2"/>
        <v>Cali</v>
      </c>
      <c r="E514" s="16" t="str">
        <f t="shared" si="3"/>
        <v>Cali</v>
      </c>
      <c r="F514" s="16" t="s">
        <v>255</v>
      </c>
      <c r="G514" s="17" t="str">
        <f>IFERROR(__xludf.DUMMYFUNCTION("SPLIT(F514:F1513,""-"") "),"Auriculares")</f>
        <v>Auriculares</v>
      </c>
      <c r="H514" s="16" t="str">
        <f>IFERROR(__xludf.DUMMYFUNCTION("""COMPUTED_VALUE"""),"Bluetooth")</f>
        <v>Bluetooth</v>
      </c>
      <c r="I514" s="16" t="str">
        <f>IFERROR(__xludf.DUMMYFUNCTION("""COMPUTED_VALUE"""),"8GB")</f>
        <v>8GB</v>
      </c>
      <c r="J514" s="18">
        <v>1882.22</v>
      </c>
      <c r="K514" s="16">
        <v>3.0</v>
      </c>
      <c r="L514" s="18">
        <v>5646.66</v>
      </c>
      <c r="M514" s="16" t="s">
        <v>523</v>
      </c>
      <c r="N514" s="16" t="s">
        <v>524</v>
      </c>
      <c r="O514" s="16" t="s">
        <v>525</v>
      </c>
    </row>
    <row r="515" ht="15.75" customHeight="1">
      <c r="A515" s="19">
        <v>45596.0</v>
      </c>
      <c r="B515" s="16" t="s">
        <v>35</v>
      </c>
      <c r="C515" s="16" t="str">
        <f t="shared" si="1"/>
        <v>Medellín</v>
      </c>
      <c r="D515" s="16" t="str">
        <f t="shared" si="2"/>
        <v>Medellín</v>
      </c>
      <c r="E515" s="16" t="str">
        <f t="shared" si="3"/>
        <v>Medellín</v>
      </c>
      <c r="F515" s="16" t="s">
        <v>63</v>
      </c>
      <c r="G515" s="17" t="str">
        <f>IFERROR(__xludf.DUMMYFUNCTION("SPLIT(F515:F1514,""-"") "),"Laptop")</f>
        <v>Laptop</v>
      </c>
      <c r="H515" s="16" t="str">
        <f>IFERROR(__xludf.DUMMYFUNCTION("""COMPUTED_VALUE"""),"Ultraliviana")</f>
        <v>Ultraliviana</v>
      </c>
      <c r="I515" s="16" t="str">
        <f>IFERROR(__xludf.DUMMYFUNCTION("""COMPUTED_VALUE"""),"4GB")</f>
        <v>4GB</v>
      </c>
      <c r="J515" s="18">
        <v>2266.71</v>
      </c>
      <c r="K515" s="16">
        <v>2.0</v>
      </c>
      <c r="L515" s="18">
        <v>4533.42</v>
      </c>
      <c r="M515" s="16" t="s">
        <v>787</v>
      </c>
      <c r="N515" s="16" t="s">
        <v>788</v>
      </c>
      <c r="O515" s="16" t="s">
        <v>789</v>
      </c>
    </row>
    <row r="516" ht="15.75" customHeight="1">
      <c r="A516" s="19">
        <v>45643.0</v>
      </c>
      <c r="B516" s="16" t="s">
        <v>2359</v>
      </c>
      <c r="C516" s="16" t="str">
        <f t="shared" si="1"/>
        <v>Ciudad De M√©Xico</v>
      </c>
      <c r="D516" s="16" t="str">
        <f t="shared" si="2"/>
        <v>Ciudad De M√©Xico</v>
      </c>
      <c r="E516" s="16" t="str">
        <f t="shared" si="3"/>
        <v>Ciudad De MéXico</v>
      </c>
      <c r="F516" s="16" t="s">
        <v>153</v>
      </c>
      <c r="G516" s="17" t="str">
        <f>IFERROR(__xludf.DUMMYFUNCTION("SPLIT(F516:F1515,""-"") "),"Laptop")</f>
        <v>Laptop</v>
      </c>
      <c r="H516" s="16" t="str">
        <f>IFERROR(__xludf.DUMMYFUNCTION("""COMPUTED_VALUE"""),"Gaming")</f>
        <v>Gaming</v>
      </c>
      <c r="I516" s="16" t="str">
        <f>IFERROR(__xludf.DUMMYFUNCTION("""COMPUTED_VALUE"""),"8GB")</f>
        <v>8GB</v>
      </c>
      <c r="J516" s="18">
        <v>1035.07</v>
      </c>
      <c r="K516" s="16">
        <v>1.0</v>
      </c>
      <c r="L516" s="18">
        <v>1035.07</v>
      </c>
      <c r="M516" s="16" t="s">
        <v>1927</v>
      </c>
      <c r="N516" s="16" t="s">
        <v>1928</v>
      </c>
      <c r="O516" s="16" t="s">
        <v>1929</v>
      </c>
    </row>
    <row r="517" ht="15.75" customHeight="1">
      <c r="A517" s="23">
        <v>45455.0</v>
      </c>
      <c r="B517" s="16" t="s">
        <v>14</v>
      </c>
      <c r="C517" s="16" t="str">
        <f t="shared" si="1"/>
        <v>Bogotá</v>
      </c>
      <c r="D517" s="16" t="str">
        <f t="shared" si="2"/>
        <v>Bogotá</v>
      </c>
      <c r="E517" s="16" t="str">
        <f t="shared" si="3"/>
        <v>Bogotá</v>
      </c>
      <c r="F517" s="16" t="s">
        <v>125</v>
      </c>
      <c r="G517" s="17" t="str">
        <f>IFERROR(__xludf.DUMMYFUNCTION("SPLIT(F517:F1516,""-"") "),"Tel√©fono")</f>
        <v>Tel√©fono</v>
      </c>
      <c r="H517" s="16" t="str">
        <f>IFERROR(__xludf.DUMMYFUNCTION("""COMPUTED_VALUE"""),"Gama media")</f>
        <v>Gama media</v>
      </c>
      <c r="I517" s="16" t="str">
        <f>IFERROR(__xludf.DUMMYFUNCTION("""COMPUTED_VALUE"""),"8GB")</f>
        <v>8GB</v>
      </c>
      <c r="J517" s="18">
        <v>1958.41</v>
      </c>
      <c r="K517" s="16">
        <v>4.0</v>
      </c>
      <c r="L517" s="18">
        <v>7833.64</v>
      </c>
      <c r="M517" s="16" t="s">
        <v>2749</v>
      </c>
      <c r="N517" s="16" t="s">
        <v>2750</v>
      </c>
      <c r="O517" s="16" t="s">
        <v>2751</v>
      </c>
    </row>
    <row r="518" ht="15.75" customHeight="1">
      <c r="A518" s="23">
        <v>45362.0</v>
      </c>
      <c r="B518" s="16" t="s">
        <v>9</v>
      </c>
      <c r="C518" s="16" t="str">
        <f t="shared" si="1"/>
        <v>Monterrey</v>
      </c>
      <c r="D518" s="16" t="str">
        <f t="shared" si="2"/>
        <v>Monterrey</v>
      </c>
      <c r="E518" s="16" t="str">
        <f t="shared" si="3"/>
        <v>Monterrey</v>
      </c>
      <c r="F518" s="16" t="s">
        <v>167</v>
      </c>
      <c r="G518" s="17" t="str">
        <f>IFERROR(__xludf.DUMMYFUNCTION("SPLIT(F518:F1517,""-"") "),"Auriculares")</f>
        <v>Auriculares</v>
      </c>
      <c r="H518" s="16" t="str">
        <f>IFERROR(__xludf.DUMMYFUNCTION("""COMPUTED_VALUE"""),"Bluetooth")</f>
        <v>Bluetooth</v>
      </c>
      <c r="I518" s="16" t="str">
        <f>IFERROR(__xludf.DUMMYFUNCTION("""COMPUTED_VALUE"""),"32GB")</f>
        <v>32GB</v>
      </c>
      <c r="J518" s="18">
        <v>1222.82</v>
      </c>
      <c r="K518" s="16">
        <v>1.0</v>
      </c>
      <c r="L518" s="18">
        <v>1222.82</v>
      </c>
      <c r="M518" s="16" t="s">
        <v>2752</v>
      </c>
      <c r="N518" s="16" t="s">
        <v>2753</v>
      </c>
      <c r="O518" s="16" t="s">
        <v>2754</v>
      </c>
    </row>
    <row r="519" ht="15.75" customHeight="1">
      <c r="A519" s="23">
        <v>45516.0</v>
      </c>
      <c r="B519" s="16" t="s">
        <v>14</v>
      </c>
      <c r="C519" s="16" t="str">
        <f t="shared" si="1"/>
        <v>Bogotá</v>
      </c>
      <c r="D519" s="16" t="str">
        <f t="shared" si="2"/>
        <v>Bogotá</v>
      </c>
      <c r="E519" s="16" t="str">
        <f t="shared" si="3"/>
        <v>Bogotá</v>
      </c>
      <c r="F519" s="16" t="s">
        <v>81</v>
      </c>
      <c r="G519" s="17" t="str">
        <f>IFERROR(__xludf.DUMMYFUNCTION("SPLIT(F519:F1518,""-"") "),"Laptop")</f>
        <v>Laptop</v>
      </c>
      <c r="H519" s="16" t="str">
        <f>IFERROR(__xludf.DUMMYFUNCTION("""COMPUTED_VALUE"""),"Oficina")</f>
        <v>Oficina</v>
      </c>
      <c r="I519" s="16" t="str">
        <f>IFERROR(__xludf.DUMMYFUNCTION("""COMPUTED_VALUE"""),"16GB")</f>
        <v>16GB</v>
      </c>
      <c r="J519" s="18">
        <v>66.58</v>
      </c>
      <c r="K519" s="16">
        <v>4.0</v>
      </c>
      <c r="L519" s="18">
        <v>266.32</v>
      </c>
      <c r="M519" s="16" t="s">
        <v>2755</v>
      </c>
      <c r="N519" s="16" t="s">
        <v>2756</v>
      </c>
      <c r="O519" s="16" t="s">
        <v>2757</v>
      </c>
    </row>
    <row r="520" ht="15.75" customHeight="1">
      <c r="A520" s="23">
        <v>45547.0</v>
      </c>
      <c r="B520" s="16" t="s">
        <v>75</v>
      </c>
      <c r="C520" s="16" t="str">
        <f t="shared" si="1"/>
        <v>Cali</v>
      </c>
      <c r="D520" s="16" t="str">
        <f t="shared" si="2"/>
        <v>Cali</v>
      </c>
      <c r="E520" s="16" t="str">
        <f t="shared" si="3"/>
        <v>Cali</v>
      </c>
      <c r="F520" s="16" t="s">
        <v>171</v>
      </c>
      <c r="G520" s="17" t="str">
        <f>IFERROR(__xludf.DUMMYFUNCTION("SPLIT(F520:F1519,""-"") "),"Teléfono")</f>
        <v>Teléfono</v>
      </c>
      <c r="H520" s="16" t="str">
        <f>IFERROR(__xludf.DUMMYFUNCTION("""COMPUTED_VALUE"""),"Gama baja")</f>
        <v>Gama baja</v>
      </c>
      <c r="I520" s="16" t="str">
        <f>IFERROR(__xludf.DUMMYFUNCTION("""COMPUTED_VALUE"""),"4GB")</f>
        <v>4GB</v>
      </c>
      <c r="J520" s="18">
        <v>2287.41</v>
      </c>
      <c r="K520" s="16">
        <v>2.0</v>
      </c>
      <c r="L520" s="18">
        <v>4574.82</v>
      </c>
      <c r="M520" s="16" t="s">
        <v>2758</v>
      </c>
      <c r="N520" s="16" t="s">
        <v>2759</v>
      </c>
      <c r="O520" s="16" t="s">
        <v>2760</v>
      </c>
    </row>
    <row r="521" ht="15.75" customHeight="1">
      <c r="A521" s="19">
        <v>45644.0</v>
      </c>
      <c r="B521" s="16" t="s">
        <v>58</v>
      </c>
      <c r="C521" s="16" t="str">
        <f t="shared" si="1"/>
        <v>Guadalajara</v>
      </c>
      <c r="D521" s="16" t="str">
        <f t="shared" si="2"/>
        <v>Guadalajara</v>
      </c>
      <c r="E521" s="16" t="str">
        <f t="shared" si="3"/>
        <v>Guadalajara</v>
      </c>
      <c r="F521" s="16" t="s">
        <v>190</v>
      </c>
      <c r="G521" s="17" t="str">
        <f>IFERROR(__xludf.DUMMYFUNCTION("SPLIT(F521:F1520,""-"") "),"Laptop")</f>
        <v>Laptop</v>
      </c>
      <c r="H521" s="16" t="str">
        <f>IFERROR(__xludf.DUMMYFUNCTION("""COMPUTED_VALUE"""),"Ultraliviana")</f>
        <v>Ultraliviana</v>
      </c>
      <c r="I521" s="16" t="str">
        <f>IFERROR(__xludf.DUMMYFUNCTION("""COMPUTED_VALUE"""),"16GB")</f>
        <v>16GB</v>
      </c>
      <c r="J521" s="18">
        <v>2310.61</v>
      </c>
      <c r="K521" s="16">
        <v>3.0</v>
      </c>
      <c r="L521" s="18">
        <v>6931.83</v>
      </c>
      <c r="M521" s="16" t="s">
        <v>1951</v>
      </c>
      <c r="N521" s="16" t="s">
        <v>1952</v>
      </c>
      <c r="O521" s="16" t="s">
        <v>1953</v>
      </c>
    </row>
    <row r="522" ht="15.75" customHeight="1">
      <c r="A522" s="23">
        <v>45547.0</v>
      </c>
      <c r="B522" s="16" t="s">
        <v>58</v>
      </c>
      <c r="C522" s="16" t="str">
        <f t="shared" si="1"/>
        <v>Guadalajara</v>
      </c>
      <c r="D522" s="16" t="str">
        <f t="shared" si="2"/>
        <v>Guadalajara</v>
      </c>
      <c r="E522" s="16" t="str">
        <f t="shared" si="3"/>
        <v>Guadalajara</v>
      </c>
      <c r="F522" s="16" t="s">
        <v>182</v>
      </c>
      <c r="G522" s="17" t="str">
        <f>IFERROR(__xludf.DUMMYFUNCTION("SPLIT(F522:F1521,""-"") "),"Tablet")</f>
        <v>Tablet</v>
      </c>
      <c r="H522" s="16" t="str">
        <f>IFERROR(__xludf.DUMMYFUNCTION("""COMPUTED_VALUE"""),"Mini")</f>
        <v>Mini</v>
      </c>
      <c r="I522" s="16" t="str">
        <f>IFERROR(__xludf.DUMMYFUNCTION("""COMPUTED_VALUE"""),"4GB")</f>
        <v>4GB</v>
      </c>
      <c r="J522" s="18">
        <v>1332.22</v>
      </c>
      <c r="K522" s="16">
        <v>5.0</v>
      </c>
      <c r="L522" s="18">
        <v>6661.1</v>
      </c>
      <c r="M522" s="16" t="s">
        <v>2761</v>
      </c>
      <c r="N522" s="16" t="s">
        <v>2762</v>
      </c>
      <c r="O522" s="16" t="s">
        <v>2763</v>
      </c>
    </row>
    <row r="523" ht="15.75" customHeight="1">
      <c r="A523" s="19">
        <v>45618.0</v>
      </c>
      <c r="B523" s="16" t="s">
        <v>35</v>
      </c>
      <c r="C523" s="16" t="str">
        <f t="shared" si="1"/>
        <v>Medellín</v>
      </c>
      <c r="D523" s="16" t="str">
        <f t="shared" si="2"/>
        <v>Medellín</v>
      </c>
      <c r="E523" s="16" t="str">
        <f t="shared" si="3"/>
        <v>Medellín</v>
      </c>
      <c r="F523" s="16" t="s">
        <v>430</v>
      </c>
      <c r="G523" s="17" t="str">
        <f>IFERROR(__xludf.DUMMYFUNCTION("SPLIT(F523:F1522,""-"") "),"Teléfono")</f>
        <v>Teléfono</v>
      </c>
      <c r="H523" s="16" t="str">
        <f>IFERROR(__xludf.DUMMYFUNCTION("""COMPUTED_VALUE"""),"Gama alta")</f>
        <v>Gama alta</v>
      </c>
      <c r="I523" s="16" t="str">
        <f>IFERROR(__xludf.DUMMYFUNCTION("""COMPUTED_VALUE"""),"4GB")</f>
        <v>4GB</v>
      </c>
      <c r="J523" s="18">
        <v>2135.79</v>
      </c>
      <c r="K523" s="16">
        <v>1.0</v>
      </c>
      <c r="L523" s="18">
        <v>2135.79</v>
      </c>
      <c r="M523" s="16" t="s">
        <v>1386</v>
      </c>
      <c r="N523" s="16" t="s">
        <v>1387</v>
      </c>
      <c r="O523" s="16" t="s">
        <v>1388</v>
      </c>
    </row>
    <row r="524" ht="15.75" customHeight="1">
      <c r="A524" s="15">
        <v>45591.0</v>
      </c>
      <c r="B524" s="16" t="s">
        <v>14</v>
      </c>
      <c r="C524" s="16" t="str">
        <f t="shared" si="1"/>
        <v>Bogotá</v>
      </c>
      <c r="D524" s="16" t="str">
        <f t="shared" si="2"/>
        <v>Bogotá</v>
      </c>
      <c r="E524" s="16" t="str">
        <f t="shared" si="3"/>
        <v>Bogotá</v>
      </c>
      <c r="F524" s="16" t="s">
        <v>344</v>
      </c>
      <c r="G524" s="17" t="str">
        <f>IFERROR(__xludf.DUMMYFUNCTION("SPLIT(F524:F1523,""-"") "),"Laptop")</f>
        <v>Laptop</v>
      </c>
      <c r="H524" s="16" t="str">
        <f>IFERROR(__xludf.DUMMYFUNCTION("""COMPUTED_VALUE"""),"Ultraliviana")</f>
        <v>Ultraliviana</v>
      </c>
      <c r="I524" s="16" t="str">
        <f>IFERROR(__xludf.DUMMYFUNCTION("""COMPUTED_VALUE"""),"8GB")</f>
        <v>8GB</v>
      </c>
      <c r="J524" s="18">
        <v>1868.91</v>
      </c>
      <c r="K524" s="16">
        <v>5.0</v>
      </c>
      <c r="L524" s="18">
        <v>9344.55</v>
      </c>
      <c r="M524" s="16" t="s">
        <v>651</v>
      </c>
      <c r="N524" s="16" t="s">
        <v>652</v>
      </c>
      <c r="O524" s="16" t="s">
        <v>653</v>
      </c>
    </row>
    <row r="525" ht="15.75" customHeight="1">
      <c r="A525" s="19">
        <v>45582.0</v>
      </c>
      <c r="B525" s="16" t="s">
        <v>9</v>
      </c>
      <c r="C525" s="16" t="str">
        <f t="shared" si="1"/>
        <v>Monterrey</v>
      </c>
      <c r="D525" s="16" t="str">
        <f t="shared" si="2"/>
        <v>Monterrey</v>
      </c>
      <c r="E525" s="16" t="str">
        <f t="shared" si="3"/>
        <v>Monterrey</v>
      </c>
      <c r="F525" s="16" t="s">
        <v>117</v>
      </c>
      <c r="G525" s="17" t="str">
        <f>IFERROR(__xludf.DUMMYFUNCTION("SPLIT(F525:F1524,""-"") "),"Teléfono")</f>
        <v>Teléfono</v>
      </c>
      <c r="H525" s="16" t="str">
        <f>IFERROR(__xludf.DUMMYFUNCTION("""COMPUTED_VALUE"""),"Gama baja")</f>
        <v>Gama baja</v>
      </c>
      <c r="I525" s="16" t="str">
        <f>IFERROR(__xludf.DUMMYFUNCTION("""COMPUTED_VALUE"""),"16GB")</f>
        <v>16GB</v>
      </c>
      <c r="J525" s="18">
        <v>2063.13</v>
      </c>
      <c r="K525" s="16">
        <v>4.0</v>
      </c>
      <c r="L525" s="18">
        <v>8252.52</v>
      </c>
      <c r="M525" s="16" t="s">
        <v>363</v>
      </c>
      <c r="N525" s="16" t="s">
        <v>364</v>
      </c>
      <c r="O525" s="16" t="s">
        <v>365</v>
      </c>
    </row>
    <row r="526" ht="15.75" customHeight="1">
      <c r="A526" s="23">
        <v>45454.0</v>
      </c>
      <c r="B526" s="16" t="s">
        <v>35</v>
      </c>
      <c r="C526" s="16" t="str">
        <f t="shared" si="1"/>
        <v>Medellín</v>
      </c>
      <c r="D526" s="16" t="str">
        <f t="shared" si="2"/>
        <v>Medellín</v>
      </c>
      <c r="E526" s="16" t="str">
        <f t="shared" si="3"/>
        <v>Medellín</v>
      </c>
      <c r="F526" s="16" t="s">
        <v>94</v>
      </c>
      <c r="G526" s="17" t="str">
        <f>IFERROR(__xludf.DUMMYFUNCTION("SPLIT(F526:F1525,""-"") "),"Tablet")</f>
        <v>Tablet</v>
      </c>
      <c r="H526" s="16" t="str">
        <f>IFERROR(__xludf.DUMMYFUNCTION("""COMPUTED_VALUE"""),"Mini")</f>
        <v>Mini</v>
      </c>
      <c r="I526" s="16" t="str">
        <f>IFERROR(__xludf.DUMMYFUNCTION("""COMPUTED_VALUE"""),"8GB")</f>
        <v>8GB</v>
      </c>
      <c r="J526" s="18">
        <v>1772.58</v>
      </c>
      <c r="K526" s="16">
        <v>2.0</v>
      </c>
      <c r="L526" s="18">
        <v>3545.16</v>
      </c>
      <c r="M526" s="16" t="s">
        <v>2764</v>
      </c>
      <c r="N526" s="16" t="s">
        <v>2765</v>
      </c>
      <c r="O526" s="16" t="s">
        <v>2766</v>
      </c>
    </row>
    <row r="527" ht="15.75" customHeight="1">
      <c r="A527" s="19">
        <v>45610.0</v>
      </c>
      <c r="B527" s="16" t="s">
        <v>9</v>
      </c>
      <c r="C527" s="16" t="str">
        <f t="shared" si="1"/>
        <v>Monterrey</v>
      </c>
      <c r="D527" s="16" t="str">
        <f t="shared" si="2"/>
        <v>Monterrey</v>
      </c>
      <c r="E527" s="16" t="str">
        <f t="shared" si="3"/>
        <v>Monterrey</v>
      </c>
      <c r="F527" s="16" t="s">
        <v>36</v>
      </c>
      <c r="G527" s="17" t="str">
        <f>IFERROR(__xludf.DUMMYFUNCTION("SPLIT(F527:F1526,""-"") "),"Tablet")</f>
        <v>Tablet</v>
      </c>
      <c r="H527" s="16" t="str">
        <f>IFERROR(__xludf.DUMMYFUNCTION("""COMPUTED_VALUE"""),"Pro")</f>
        <v>Pro</v>
      </c>
      <c r="I527" s="16" t="str">
        <f>IFERROR(__xludf.DUMMYFUNCTION("""COMPUTED_VALUE"""),"4GB")</f>
        <v>4GB</v>
      </c>
      <c r="J527" s="18">
        <v>2224.61</v>
      </c>
      <c r="K527" s="16">
        <v>4.0</v>
      </c>
      <c r="L527" s="18">
        <v>8898.44</v>
      </c>
      <c r="M527" s="16" t="s">
        <v>1091</v>
      </c>
      <c r="N527" s="16" t="s">
        <v>1092</v>
      </c>
      <c r="O527" s="16" t="s">
        <v>1093</v>
      </c>
    </row>
    <row r="528" ht="15.75" customHeight="1">
      <c r="A528" s="19">
        <v>45587.0</v>
      </c>
      <c r="B528" s="16" t="s">
        <v>14</v>
      </c>
      <c r="C528" s="16" t="str">
        <f t="shared" si="1"/>
        <v>Bogotá</v>
      </c>
      <c r="D528" s="16" t="str">
        <f t="shared" si="2"/>
        <v>Bogotá</v>
      </c>
      <c r="E528" s="16" t="str">
        <f t="shared" si="3"/>
        <v>Bogotá</v>
      </c>
      <c r="F528" s="16" t="s">
        <v>229</v>
      </c>
      <c r="G528" s="17" t="str">
        <f>IFERROR(__xludf.DUMMYFUNCTION("SPLIT(F528:F1527,""-"") "),"Laptop")</f>
        <v>Laptop</v>
      </c>
      <c r="H528" s="16" t="str">
        <f>IFERROR(__xludf.DUMMYFUNCTION("""COMPUTED_VALUE"""),"Oficina")</f>
        <v>Oficina</v>
      </c>
      <c r="I528" s="16" t="str">
        <f>IFERROR(__xludf.DUMMYFUNCTION("""COMPUTED_VALUE"""),"4GB")</f>
        <v>4GB</v>
      </c>
      <c r="J528" s="18">
        <v>419.18</v>
      </c>
      <c r="K528" s="16">
        <v>4.0</v>
      </c>
      <c r="L528" s="18">
        <v>1676.72</v>
      </c>
      <c r="M528" s="16" t="s">
        <v>526</v>
      </c>
      <c r="N528" s="16" t="s">
        <v>527</v>
      </c>
      <c r="O528" s="16" t="s">
        <v>528</v>
      </c>
    </row>
    <row r="529" ht="15.75" customHeight="1">
      <c r="A529" s="19">
        <v>45656.0</v>
      </c>
      <c r="B529" s="16" t="s">
        <v>9</v>
      </c>
      <c r="C529" s="16" t="str">
        <f t="shared" si="1"/>
        <v>Monterrey</v>
      </c>
      <c r="D529" s="16" t="str">
        <f t="shared" si="2"/>
        <v>Monterrey</v>
      </c>
      <c r="E529" s="16" t="str">
        <f t="shared" si="3"/>
        <v>Monterrey</v>
      </c>
      <c r="F529" s="16" t="s">
        <v>31</v>
      </c>
      <c r="G529" s="17" t="str">
        <f>IFERROR(__xludf.DUMMYFUNCTION("SPLIT(F529:F1528,""-"") "),"Teléfono")</f>
        <v>Teléfono</v>
      </c>
      <c r="H529" s="16" t="str">
        <f>IFERROR(__xludf.DUMMYFUNCTION("""COMPUTED_VALUE"""),"Gama alta")</f>
        <v>Gama alta</v>
      </c>
      <c r="I529" s="16" t="str">
        <f>IFERROR(__xludf.DUMMYFUNCTION("""COMPUTED_VALUE"""),"32GB")</f>
        <v>32GB</v>
      </c>
      <c r="J529" s="18">
        <v>2149.59</v>
      </c>
      <c r="K529" s="16">
        <v>4.0</v>
      </c>
      <c r="L529" s="18">
        <v>8598.36</v>
      </c>
      <c r="M529" s="16" t="s">
        <v>2318</v>
      </c>
      <c r="N529" s="16" t="s">
        <v>2319</v>
      </c>
      <c r="O529" s="16" t="s">
        <v>2320</v>
      </c>
    </row>
    <row r="530" ht="15.75" customHeight="1">
      <c r="A530" s="19">
        <v>45583.0</v>
      </c>
      <c r="B530" s="16" t="s">
        <v>14</v>
      </c>
      <c r="C530" s="16" t="str">
        <f t="shared" si="1"/>
        <v>Bogotá</v>
      </c>
      <c r="D530" s="16" t="str">
        <f t="shared" si="2"/>
        <v>Bogotá</v>
      </c>
      <c r="E530" s="16" t="str">
        <f t="shared" si="3"/>
        <v>Bogotá</v>
      </c>
      <c r="F530" s="16" t="s">
        <v>399</v>
      </c>
      <c r="G530" s="17" t="str">
        <f>IFERROR(__xludf.DUMMYFUNCTION("SPLIT(F530:F1529,""-"") "),"Laptop")</f>
        <v>Laptop</v>
      </c>
      <c r="H530" s="16" t="str">
        <f>IFERROR(__xludf.DUMMYFUNCTION("""COMPUTED_VALUE"""),"Gaming")</f>
        <v>Gaming</v>
      </c>
      <c r="I530" s="16" t="str">
        <f>IFERROR(__xludf.DUMMYFUNCTION("""COMPUTED_VALUE"""),"4GB")</f>
        <v>4GB</v>
      </c>
      <c r="J530" s="18">
        <v>709.65</v>
      </c>
      <c r="K530" s="16">
        <v>3.0</v>
      </c>
      <c r="L530" s="18">
        <v>2128.95</v>
      </c>
      <c r="M530" s="16" t="s">
        <v>400</v>
      </c>
      <c r="N530" s="16" t="s">
        <v>401</v>
      </c>
      <c r="O530" s="16" t="s">
        <v>402</v>
      </c>
    </row>
    <row r="531" ht="15.75" customHeight="1">
      <c r="A531" s="19">
        <v>45653.0</v>
      </c>
      <c r="B531" s="16" t="s">
        <v>58</v>
      </c>
      <c r="C531" s="16" t="str">
        <f t="shared" si="1"/>
        <v>Guadalajara</v>
      </c>
      <c r="D531" s="16" t="str">
        <f t="shared" si="2"/>
        <v>Guadalajara</v>
      </c>
      <c r="E531" s="16" t="str">
        <f t="shared" si="3"/>
        <v>Guadalajara</v>
      </c>
      <c r="F531" s="16" t="s">
        <v>666</v>
      </c>
      <c r="G531" s="17" t="str">
        <f>IFERROR(__xludf.DUMMYFUNCTION("SPLIT(F531:F1530,""-"") "),"Auriculares")</f>
        <v>Auriculares</v>
      </c>
      <c r="H531" s="16" t="str">
        <f>IFERROR(__xludf.DUMMYFUNCTION("""COMPUTED_VALUE"""),"Cancelación de ruido")</f>
        <v>Cancelación de ruido</v>
      </c>
      <c r="I531" s="16" t="str">
        <f>IFERROR(__xludf.DUMMYFUNCTION("""COMPUTED_VALUE"""),"32GB")</f>
        <v>32GB</v>
      </c>
      <c r="J531" s="18">
        <v>1191.71</v>
      </c>
      <c r="K531" s="16">
        <v>4.0</v>
      </c>
      <c r="L531" s="18">
        <v>4766.84</v>
      </c>
      <c r="M531" s="16" t="s">
        <v>2225</v>
      </c>
      <c r="N531" s="16" t="s">
        <v>2226</v>
      </c>
      <c r="O531" s="16" t="s">
        <v>2227</v>
      </c>
    </row>
    <row r="532" ht="15.75" customHeight="1">
      <c r="A532" s="19">
        <v>45611.0</v>
      </c>
      <c r="B532" s="16" t="s">
        <v>75</v>
      </c>
      <c r="C532" s="16" t="str">
        <f t="shared" si="1"/>
        <v>Cali</v>
      </c>
      <c r="D532" s="16" t="str">
        <f t="shared" si="2"/>
        <v>Cali</v>
      </c>
      <c r="E532" s="16" t="str">
        <f t="shared" si="3"/>
        <v>Cali</v>
      </c>
      <c r="F532" s="16" t="s">
        <v>182</v>
      </c>
      <c r="G532" s="17" t="str">
        <f>IFERROR(__xludf.DUMMYFUNCTION("SPLIT(F532:F1531,""-"") "),"Tablet")</f>
        <v>Tablet</v>
      </c>
      <c r="H532" s="16" t="str">
        <f>IFERROR(__xludf.DUMMYFUNCTION("""COMPUTED_VALUE"""),"Mini")</f>
        <v>Mini</v>
      </c>
      <c r="I532" s="16" t="str">
        <f>IFERROR(__xludf.DUMMYFUNCTION("""COMPUTED_VALUE"""),"4GB")</f>
        <v>4GB</v>
      </c>
      <c r="J532" s="18">
        <v>914.84</v>
      </c>
      <c r="K532" s="16">
        <v>4.0</v>
      </c>
      <c r="L532" s="18">
        <v>3659.36</v>
      </c>
      <c r="M532" s="16" t="s">
        <v>1116</v>
      </c>
      <c r="N532" s="16" t="s">
        <v>1117</v>
      </c>
      <c r="O532" s="21" t="s">
        <v>1118</v>
      </c>
    </row>
    <row r="533" ht="15.75" customHeight="1">
      <c r="A533" s="15">
        <v>45568.0</v>
      </c>
      <c r="B533" s="16" t="s">
        <v>2359</v>
      </c>
      <c r="C533" s="16" t="str">
        <f t="shared" si="1"/>
        <v>Ciudad De M√©Xico</v>
      </c>
      <c r="D533" s="16" t="str">
        <f t="shared" si="2"/>
        <v>Ciudad De M√©Xico</v>
      </c>
      <c r="E533" s="16" t="str">
        <f t="shared" si="3"/>
        <v>Ciudad De MéXico</v>
      </c>
      <c r="F533" s="16" t="s">
        <v>31</v>
      </c>
      <c r="G533" s="17" t="str">
        <f>IFERROR(__xludf.DUMMYFUNCTION("SPLIT(F533:F1532,""-"") "),"Teléfono")</f>
        <v>Teléfono</v>
      </c>
      <c r="H533" s="16" t="str">
        <f>IFERROR(__xludf.DUMMYFUNCTION("""COMPUTED_VALUE"""),"Gama alta")</f>
        <v>Gama alta</v>
      </c>
      <c r="I533" s="16" t="str">
        <f>IFERROR(__xludf.DUMMYFUNCTION("""COMPUTED_VALUE"""),"32GB")</f>
        <v>32GB</v>
      </c>
      <c r="J533" s="18">
        <v>2419.81</v>
      </c>
      <c r="K533" s="16">
        <v>5.0</v>
      </c>
      <c r="L533" s="18">
        <v>12099.05</v>
      </c>
      <c r="M533" s="16" t="s">
        <v>32</v>
      </c>
      <c r="N533" s="16" t="s">
        <v>33</v>
      </c>
      <c r="O533" s="16" t="s">
        <v>34</v>
      </c>
    </row>
    <row r="534" ht="15.75" customHeight="1">
      <c r="A534" s="19">
        <v>45583.0</v>
      </c>
      <c r="B534" s="16" t="s">
        <v>14</v>
      </c>
      <c r="C534" s="16" t="str">
        <f t="shared" si="1"/>
        <v>Bogotá</v>
      </c>
      <c r="D534" s="16" t="str">
        <f t="shared" si="2"/>
        <v>Bogotá</v>
      </c>
      <c r="E534" s="16" t="str">
        <f t="shared" si="3"/>
        <v>Bogotá</v>
      </c>
      <c r="F534" s="16" t="s">
        <v>163</v>
      </c>
      <c r="G534" s="17" t="str">
        <f>IFERROR(__xludf.DUMMYFUNCTION("SPLIT(F534:F1533,""-"") "),"Laptop")</f>
        <v>Laptop</v>
      </c>
      <c r="H534" s="16" t="str">
        <f>IFERROR(__xludf.DUMMYFUNCTION("""COMPUTED_VALUE"""),"Oficina")</f>
        <v>Oficina</v>
      </c>
      <c r="I534" s="16" t="str">
        <f>IFERROR(__xludf.DUMMYFUNCTION("""COMPUTED_VALUE"""),"32GB")</f>
        <v>32GB</v>
      </c>
      <c r="J534" s="18">
        <v>1750.63</v>
      </c>
      <c r="K534" s="16">
        <v>5.0</v>
      </c>
      <c r="L534" s="18">
        <v>8753.15</v>
      </c>
      <c r="M534" s="16" t="s">
        <v>403</v>
      </c>
      <c r="N534" s="16" t="s">
        <v>404</v>
      </c>
      <c r="O534" s="16" t="s">
        <v>405</v>
      </c>
    </row>
    <row r="535" ht="15.75" customHeight="1">
      <c r="A535" s="19">
        <v>45582.0</v>
      </c>
      <c r="B535" s="16" t="s">
        <v>75</v>
      </c>
      <c r="C535" s="16" t="str">
        <f t="shared" si="1"/>
        <v>Cali</v>
      </c>
      <c r="D535" s="16" t="str">
        <f t="shared" si="2"/>
        <v>Cali</v>
      </c>
      <c r="E535" s="16" t="str">
        <f t="shared" si="3"/>
        <v>Cali</v>
      </c>
      <c r="F535" s="16" t="s">
        <v>125</v>
      </c>
      <c r="G535" s="17" t="str">
        <f>IFERROR(__xludf.DUMMYFUNCTION("SPLIT(F535:F1534,""-"") "),"Tel√©fono")</f>
        <v>Tel√©fono</v>
      </c>
      <c r="H535" s="16" t="str">
        <f>IFERROR(__xludf.DUMMYFUNCTION("""COMPUTED_VALUE"""),"Gama media")</f>
        <v>Gama media</v>
      </c>
      <c r="I535" s="16" t="str">
        <f>IFERROR(__xludf.DUMMYFUNCTION("""COMPUTED_VALUE"""),"8GB")</f>
        <v>8GB</v>
      </c>
      <c r="J535" s="18">
        <v>1091.59</v>
      </c>
      <c r="K535" s="16">
        <v>5.0</v>
      </c>
      <c r="L535" s="18">
        <v>5457.95</v>
      </c>
      <c r="M535" s="16" t="s">
        <v>366</v>
      </c>
      <c r="N535" s="16" t="s">
        <v>367</v>
      </c>
      <c r="O535" s="16" t="s">
        <v>368</v>
      </c>
    </row>
    <row r="536" ht="15.75" customHeight="1">
      <c r="A536" s="19">
        <v>45584.0</v>
      </c>
      <c r="B536" s="16" t="s">
        <v>58</v>
      </c>
      <c r="C536" s="16" t="str">
        <f t="shared" si="1"/>
        <v>Guadalajara</v>
      </c>
      <c r="D536" s="16" t="str">
        <f t="shared" si="2"/>
        <v>Guadalajara</v>
      </c>
      <c r="E536" s="16" t="str">
        <f t="shared" si="3"/>
        <v>Guadalajara</v>
      </c>
      <c r="F536" s="16" t="s">
        <v>163</v>
      </c>
      <c r="G536" s="17" t="str">
        <f>IFERROR(__xludf.DUMMYFUNCTION("SPLIT(F536:F1535,""-"") "),"Laptop")</f>
        <v>Laptop</v>
      </c>
      <c r="H536" s="16" t="str">
        <f>IFERROR(__xludf.DUMMYFUNCTION("""COMPUTED_VALUE"""),"Oficina")</f>
        <v>Oficina</v>
      </c>
      <c r="I536" s="16" t="str">
        <f>IFERROR(__xludf.DUMMYFUNCTION("""COMPUTED_VALUE"""),"32GB")</f>
        <v>32GB</v>
      </c>
      <c r="J536" s="18">
        <v>2182.83</v>
      </c>
      <c r="K536" s="16">
        <v>4.0</v>
      </c>
      <c r="L536" s="18">
        <v>8731.32</v>
      </c>
      <c r="M536" s="16" t="s">
        <v>434</v>
      </c>
      <c r="N536" s="16" t="s">
        <v>435</v>
      </c>
      <c r="O536" s="16" t="s">
        <v>436</v>
      </c>
    </row>
    <row r="537" ht="15.75" customHeight="1">
      <c r="A537" s="19">
        <v>45619.0</v>
      </c>
      <c r="B537" s="16" t="s">
        <v>75</v>
      </c>
      <c r="C537" s="16" t="str">
        <f t="shared" si="1"/>
        <v>Cali</v>
      </c>
      <c r="D537" s="16" t="str">
        <f t="shared" si="2"/>
        <v>Cali</v>
      </c>
      <c r="E537" s="16" t="str">
        <f t="shared" si="3"/>
        <v>Cali</v>
      </c>
      <c r="F537" s="16" t="s">
        <v>163</v>
      </c>
      <c r="G537" s="17" t="str">
        <f>IFERROR(__xludf.DUMMYFUNCTION("SPLIT(F537:F1536,""-"") "),"Laptop")</f>
        <v>Laptop</v>
      </c>
      <c r="H537" s="16" t="str">
        <f>IFERROR(__xludf.DUMMYFUNCTION("""COMPUTED_VALUE"""),"Oficina")</f>
        <v>Oficina</v>
      </c>
      <c r="I537" s="16" t="str">
        <f>IFERROR(__xludf.DUMMYFUNCTION("""COMPUTED_VALUE"""),"32GB")</f>
        <v>32GB</v>
      </c>
      <c r="J537" s="18">
        <v>919.27</v>
      </c>
      <c r="K537" s="16">
        <v>2.0</v>
      </c>
      <c r="L537" s="18">
        <v>1838.54</v>
      </c>
      <c r="M537" s="16" t="s">
        <v>1420</v>
      </c>
      <c r="N537" s="16" t="s">
        <v>1421</v>
      </c>
      <c r="O537" s="16" t="s">
        <v>1422</v>
      </c>
    </row>
    <row r="538" ht="15.75" customHeight="1">
      <c r="A538" s="15">
        <v>45568.0</v>
      </c>
      <c r="B538" s="16" t="s">
        <v>35</v>
      </c>
      <c r="C538" s="16" t="str">
        <f t="shared" si="1"/>
        <v>Medellín</v>
      </c>
      <c r="D538" s="16" t="str">
        <f t="shared" si="2"/>
        <v>Medellín</v>
      </c>
      <c r="E538" s="16" t="str">
        <f t="shared" si="3"/>
        <v>Medellín</v>
      </c>
      <c r="F538" s="16" t="s">
        <v>36</v>
      </c>
      <c r="G538" s="17" t="str">
        <f>IFERROR(__xludf.DUMMYFUNCTION("SPLIT(F538:F1537,""-"") "),"Tablet")</f>
        <v>Tablet</v>
      </c>
      <c r="H538" s="16" t="str">
        <f>IFERROR(__xludf.DUMMYFUNCTION("""COMPUTED_VALUE"""),"Pro")</f>
        <v>Pro</v>
      </c>
      <c r="I538" s="16" t="str">
        <f>IFERROR(__xludf.DUMMYFUNCTION("""COMPUTED_VALUE"""),"4GB")</f>
        <v>4GB</v>
      </c>
      <c r="J538" s="18">
        <v>145.9</v>
      </c>
      <c r="K538" s="16">
        <v>5.0</v>
      </c>
      <c r="L538" s="18">
        <v>729.5</v>
      </c>
      <c r="M538" s="16" t="s">
        <v>37</v>
      </c>
      <c r="N538" s="16" t="s">
        <v>38</v>
      </c>
      <c r="O538" s="16" t="s">
        <v>39</v>
      </c>
    </row>
    <row r="539" ht="15.75" customHeight="1">
      <c r="A539" s="19">
        <v>45626.0</v>
      </c>
      <c r="B539" s="16" t="s">
        <v>75</v>
      </c>
      <c r="C539" s="16" t="str">
        <f t="shared" si="1"/>
        <v>Cali</v>
      </c>
      <c r="D539" s="16" t="str">
        <f t="shared" si="2"/>
        <v>Cali</v>
      </c>
      <c r="E539" s="16" t="str">
        <f t="shared" si="3"/>
        <v>Cali</v>
      </c>
      <c r="F539" s="16" t="s">
        <v>344</v>
      </c>
      <c r="G539" s="17" t="str">
        <f>IFERROR(__xludf.DUMMYFUNCTION("SPLIT(F539:F1538,""-"") "),"Laptop")</f>
        <v>Laptop</v>
      </c>
      <c r="H539" s="16" t="str">
        <f>IFERROR(__xludf.DUMMYFUNCTION("""COMPUTED_VALUE"""),"Ultraliviana")</f>
        <v>Ultraliviana</v>
      </c>
      <c r="I539" s="16" t="str">
        <f>IFERROR(__xludf.DUMMYFUNCTION("""COMPUTED_VALUE"""),"8GB")</f>
        <v>8GB</v>
      </c>
      <c r="J539" s="18">
        <v>1208.42</v>
      </c>
      <c r="K539" s="16">
        <v>3.0</v>
      </c>
      <c r="L539" s="18">
        <v>3625.26</v>
      </c>
      <c r="M539" s="16" t="s">
        <v>1623</v>
      </c>
      <c r="N539" s="16" t="s">
        <v>1624</v>
      </c>
      <c r="O539" s="16" t="s">
        <v>1625</v>
      </c>
    </row>
    <row r="540" ht="15.75" customHeight="1">
      <c r="A540" s="23">
        <v>45547.0</v>
      </c>
      <c r="B540" s="16" t="s">
        <v>58</v>
      </c>
      <c r="C540" s="16" t="str">
        <f t="shared" si="1"/>
        <v>Guadalajara</v>
      </c>
      <c r="D540" s="16" t="str">
        <f t="shared" si="2"/>
        <v>Guadalajara</v>
      </c>
      <c r="E540" s="16" t="str">
        <f t="shared" si="3"/>
        <v>Guadalajara</v>
      </c>
      <c r="F540" s="16" t="s">
        <v>121</v>
      </c>
      <c r="G540" s="17" t="str">
        <f>IFERROR(__xludf.DUMMYFUNCTION("SPLIT(F540:F1539,""-"") "),"Teléfono")</f>
        <v>Teléfono</v>
      </c>
      <c r="H540" s="16" t="str">
        <f>IFERROR(__xludf.DUMMYFUNCTION("""COMPUTED_VALUE"""),"Gama alta")</f>
        <v>Gama alta</v>
      </c>
      <c r="I540" s="16" t="str">
        <f>IFERROR(__xludf.DUMMYFUNCTION("""COMPUTED_VALUE"""),"8GB")</f>
        <v>8GB</v>
      </c>
      <c r="J540" s="18">
        <v>1990.56</v>
      </c>
      <c r="K540" s="16">
        <v>2.0</v>
      </c>
      <c r="L540" s="18">
        <v>3981.12</v>
      </c>
      <c r="M540" s="16" t="s">
        <v>2767</v>
      </c>
      <c r="N540" s="16" t="s">
        <v>2768</v>
      </c>
      <c r="O540" s="16" t="s">
        <v>2769</v>
      </c>
    </row>
    <row r="541" ht="15.75" customHeight="1">
      <c r="A541" s="19">
        <v>45612.0</v>
      </c>
      <c r="B541" s="16" t="s">
        <v>9</v>
      </c>
      <c r="C541" s="16" t="str">
        <f t="shared" si="1"/>
        <v>Monterrey</v>
      </c>
      <c r="D541" s="16" t="str">
        <f t="shared" si="2"/>
        <v>Monterrey</v>
      </c>
      <c r="E541" s="16" t="str">
        <f t="shared" si="3"/>
        <v>Monterrey</v>
      </c>
      <c r="F541" s="16" t="s">
        <v>15</v>
      </c>
      <c r="G541" s="17" t="str">
        <f>IFERROR(__xludf.DUMMYFUNCTION("SPLIT(F541:F1540,""-"") "),"Auriculares")</f>
        <v>Auriculares</v>
      </c>
      <c r="H541" s="16" t="str">
        <f>IFERROR(__xludf.DUMMYFUNCTION("""COMPUTED_VALUE"""),"Con cable")</f>
        <v>Con cable</v>
      </c>
      <c r="I541" s="16" t="str">
        <f>IFERROR(__xludf.DUMMYFUNCTION("""COMPUTED_VALUE"""),"32GB")</f>
        <v>32GB</v>
      </c>
      <c r="J541" s="18">
        <v>347.49</v>
      </c>
      <c r="K541" s="16">
        <v>5.0</v>
      </c>
      <c r="L541" s="18">
        <v>1737.45</v>
      </c>
      <c r="M541" s="16" t="s">
        <v>1164</v>
      </c>
      <c r="N541" s="16" t="s">
        <v>1165</v>
      </c>
      <c r="O541" s="16" t="s">
        <v>1166</v>
      </c>
    </row>
    <row r="542" ht="15.75" customHeight="1">
      <c r="A542" s="19">
        <v>45643.0</v>
      </c>
      <c r="B542" s="16" t="s">
        <v>75</v>
      </c>
      <c r="C542" s="16" t="str">
        <f t="shared" si="1"/>
        <v>Cali</v>
      </c>
      <c r="D542" s="16" t="str">
        <f t="shared" si="2"/>
        <v>Cali</v>
      </c>
      <c r="E542" s="16" t="str">
        <f t="shared" si="3"/>
        <v>Cali</v>
      </c>
      <c r="F542" s="16" t="s">
        <v>399</v>
      </c>
      <c r="G542" s="17" t="str">
        <f>IFERROR(__xludf.DUMMYFUNCTION("SPLIT(F542:F1541,""-"") "),"Laptop")</f>
        <v>Laptop</v>
      </c>
      <c r="H542" s="16" t="str">
        <f>IFERROR(__xludf.DUMMYFUNCTION("""COMPUTED_VALUE"""),"Gaming")</f>
        <v>Gaming</v>
      </c>
      <c r="I542" s="16" t="str">
        <f>IFERROR(__xludf.DUMMYFUNCTION("""COMPUTED_VALUE"""),"4GB")</f>
        <v>4GB</v>
      </c>
      <c r="J542" s="18">
        <v>771.57</v>
      </c>
      <c r="K542" s="16">
        <v>5.0</v>
      </c>
      <c r="L542" s="18">
        <v>3857.85</v>
      </c>
      <c r="M542" s="16" t="s">
        <v>1930</v>
      </c>
      <c r="N542" s="16" t="s">
        <v>1931</v>
      </c>
      <c r="O542" s="16" t="s">
        <v>1932</v>
      </c>
    </row>
    <row r="543" ht="15.75" customHeight="1">
      <c r="A543" s="19">
        <v>45612.0</v>
      </c>
      <c r="B543" s="16" t="s">
        <v>58</v>
      </c>
      <c r="C543" s="16" t="str">
        <f t="shared" si="1"/>
        <v>Guadalajara</v>
      </c>
      <c r="D543" s="16" t="str">
        <f t="shared" si="2"/>
        <v>Guadalajara</v>
      </c>
      <c r="E543" s="16" t="str">
        <f t="shared" si="3"/>
        <v>Guadalajara</v>
      </c>
      <c r="F543" s="16" t="s">
        <v>190</v>
      </c>
      <c r="G543" s="17" t="str">
        <f>IFERROR(__xludf.DUMMYFUNCTION("SPLIT(F543:F1542,""-"") "),"Laptop")</f>
        <v>Laptop</v>
      </c>
      <c r="H543" s="16" t="str">
        <f>IFERROR(__xludf.DUMMYFUNCTION("""COMPUTED_VALUE"""),"Ultraliviana")</f>
        <v>Ultraliviana</v>
      </c>
      <c r="I543" s="16" t="str">
        <f>IFERROR(__xludf.DUMMYFUNCTION("""COMPUTED_VALUE"""),"16GB")</f>
        <v>16GB</v>
      </c>
      <c r="J543" s="18">
        <v>1346.1</v>
      </c>
      <c r="K543" s="16">
        <v>1.0</v>
      </c>
      <c r="L543" s="18">
        <v>1346.1</v>
      </c>
      <c r="M543" s="16" t="s">
        <v>1167</v>
      </c>
      <c r="N543" s="16" t="s">
        <v>1168</v>
      </c>
      <c r="O543" s="16" t="s">
        <v>1169</v>
      </c>
    </row>
    <row r="544" ht="15.75" customHeight="1">
      <c r="A544" s="23">
        <v>45485.0</v>
      </c>
      <c r="B544" s="16" t="s">
        <v>14</v>
      </c>
      <c r="C544" s="16" t="str">
        <f t="shared" si="1"/>
        <v>Bogotá</v>
      </c>
      <c r="D544" s="16" t="str">
        <f t="shared" si="2"/>
        <v>Bogotá</v>
      </c>
      <c r="E544" s="16" t="str">
        <f t="shared" si="3"/>
        <v>Bogotá</v>
      </c>
      <c r="F544" s="16" t="s">
        <v>344</v>
      </c>
      <c r="G544" s="17" t="str">
        <f>IFERROR(__xludf.DUMMYFUNCTION("SPLIT(F544:F1543,""-"") "),"Laptop")</f>
        <v>Laptop</v>
      </c>
      <c r="H544" s="16" t="str">
        <f>IFERROR(__xludf.DUMMYFUNCTION("""COMPUTED_VALUE"""),"Ultraliviana")</f>
        <v>Ultraliviana</v>
      </c>
      <c r="I544" s="16" t="str">
        <f>IFERROR(__xludf.DUMMYFUNCTION("""COMPUTED_VALUE"""),"8GB")</f>
        <v>8GB</v>
      </c>
      <c r="J544" s="18">
        <v>1806.45</v>
      </c>
      <c r="K544" s="16">
        <v>4.0</v>
      </c>
      <c r="L544" s="18">
        <v>7225.8</v>
      </c>
      <c r="M544" s="16" t="s">
        <v>2770</v>
      </c>
      <c r="N544" s="16" t="s">
        <v>2771</v>
      </c>
      <c r="O544" s="16" t="s">
        <v>2772</v>
      </c>
    </row>
    <row r="545" ht="15.75" customHeight="1">
      <c r="A545" s="19">
        <v>45594.0</v>
      </c>
      <c r="B545" s="16" t="s">
        <v>58</v>
      </c>
      <c r="C545" s="16" t="str">
        <f t="shared" si="1"/>
        <v>Guadalajara</v>
      </c>
      <c r="D545" s="16" t="str">
        <f t="shared" si="2"/>
        <v>Guadalajara</v>
      </c>
      <c r="E545" s="16" t="str">
        <f t="shared" si="3"/>
        <v>Guadalajara</v>
      </c>
      <c r="F545" s="16" t="s">
        <v>54</v>
      </c>
      <c r="G545" s="17" t="str">
        <f>IFERROR(__xludf.DUMMYFUNCTION("SPLIT(F545:F1544,""-"") "),"Laptop")</f>
        <v>Laptop</v>
      </c>
      <c r="H545" s="16" t="str">
        <f>IFERROR(__xludf.DUMMYFUNCTION("""COMPUTED_VALUE"""),"Oficina")</f>
        <v>Oficina</v>
      </c>
      <c r="I545" s="16" t="str">
        <f>IFERROR(__xludf.DUMMYFUNCTION("""COMPUTED_VALUE"""),"8GB")</f>
        <v>8GB</v>
      </c>
      <c r="J545" s="18">
        <v>2248.35</v>
      </c>
      <c r="K545" s="16">
        <v>5.0</v>
      </c>
      <c r="L545" s="18">
        <v>11241.75</v>
      </c>
      <c r="M545" s="16" t="s">
        <v>751</v>
      </c>
      <c r="N545" s="16" t="s">
        <v>752</v>
      </c>
      <c r="O545" s="16" t="s">
        <v>753</v>
      </c>
    </row>
    <row r="546" ht="15.75" customHeight="1">
      <c r="A546" s="19">
        <v>45641.0</v>
      </c>
      <c r="B546" s="16" t="s">
        <v>58</v>
      </c>
      <c r="C546" s="16" t="str">
        <f t="shared" si="1"/>
        <v>Guadalajara</v>
      </c>
      <c r="D546" s="16" t="str">
        <f t="shared" si="2"/>
        <v>Guadalajara</v>
      </c>
      <c r="E546" s="16" t="str">
        <f t="shared" si="3"/>
        <v>Guadalajara</v>
      </c>
      <c r="F546" s="16" t="s">
        <v>344</v>
      </c>
      <c r="G546" s="17" t="str">
        <f>IFERROR(__xludf.DUMMYFUNCTION("SPLIT(F546:F1545,""-"") "),"Laptop")</f>
        <v>Laptop</v>
      </c>
      <c r="H546" s="16" t="str">
        <f>IFERROR(__xludf.DUMMYFUNCTION("""COMPUTED_VALUE"""),"Ultraliviana")</f>
        <v>Ultraliviana</v>
      </c>
      <c r="I546" s="16" t="str">
        <f>IFERROR(__xludf.DUMMYFUNCTION("""COMPUTED_VALUE"""),"8GB")</f>
        <v>8GB</v>
      </c>
      <c r="J546" s="18">
        <v>817.31</v>
      </c>
      <c r="K546" s="16">
        <v>2.0</v>
      </c>
      <c r="L546" s="18">
        <v>1634.62</v>
      </c>
      <c r="M546" s="16" t="s">
        <v>1858</v>
      </c>
      <c r="N546" s="16" t="s">
        <v>1859</v>
      </c>
      <c r="O546" s="16" t="s">
        <v>1860</v>
      </c>
    </row>
    <row r="547" ht="15.75" customHeight="1">
      <c r="A547" s="19">
        <v>45593.0</v>
      </c>
      <c r="B547" s="16" t="s">
        <v>2359</v>
      </c>
      <c r="C547" s="16" t="str">
        <f t="shared" si="1"/>
        <v>Ciudad De M√©Xico</v>
      </c>
      <c r="D547" s="16" t="str">
        <f t="shared" si="2"/>
        <v>Ciudad De M√©Xico</v>
      </c>
      <c r="E547" s="16" t="str">
        <f t="shared" si="3"/>
        <v>Ciudad De MéXico</v>
      </c>
      <c r="F547" s="16" t="s">
        <v>163</v>
      </c>
      <c r="G547" s="17" t="str">
        <f>IFERROR(__xludf.DUMMYFUNCTION("SPLIT(F547:F1546,""-"") "),"Laptop")</f>
        <v>Laptop</v>
      </c>
      <c r="H547" s="16" t="str">
        <f>IFERROR(__xludf.DUMMYFUNCTION("""COMPUTED_VALUE"""),"Oficina")</f>
        <v>Oficina</v>
      </c>
      <c r="I547" s="16" t="str">
        <f>IFERROR(__xludf.DUMMYFUNCTION("""COMPUTED_VALUE"""),"32GB")</f>
        <v>32GB</v>
      </c>
      <c r="J547" s="18">
        <v>2484.65</v>
      </c>
      <c r="K547" s="16">
        <v>2.0</v>
      </c>
      <c r="L547" s="18">
        <v>4969.3</v>
      </c>
      <c r="M547" s="16" t="s">
        <v>709</v>
      </c>
      <c r="N547" s="16" t="s">
        <v>710</v>
      </c>
      <c r="O547" s="16" t="s">
        <v>711</v>
      </c>
    </row>
    <row r="548" ht="15.75" customHeight="1">
      <c r="A548" s="19">
        <v>45641.0</v>
      </c>
      <c r="B548" s="16" t="s">
        <v>14</v>
      </c>
      <c r="C548" s="16" t="str">
        <f t="shared" si="1"/>
        <v>Bogotá</v>
      </c>
      <c r="D548" s="16" t="str">
        <f t="shared" si="2"/>
        <v>Bogotá</v>
      </c>
      <c r="E548" s="16" t="str">
        <f t="shared" si="3"/>
        <v>Bogotá</v>
      </c>
      <c r="F548" s="16" t="s">
        <v>167</v>
      </c>
      <c r="G548" s="17" t="str">
        <f>IFERROR(__xludf.DUMMYFUNCTION("SPLIT(F548:F1547,""-"") "),"Auriculares")</f>
        <v>Auriculares</v>
      </c>
      <c r="H548" s="16" t="str">
        <f>IFERROR(__xludf.DUMMYFUNCTION("""COMPUTED_VALUE"""),"Bluetooth")</f>
        <v>Bluetooth</v>
      </c>
      <c r="I548" s="16" t="str">
        <f>IFERROR(__xludf.DUMMYFUNCTION("""COMPUTED_VALUE"""),"32GB")</f>
        <v>32GB</v>
      </c>
      <c r="J548" s="18">
        <v>101.1</v>
      </c>
      <c r="K548" s="16">
        <v>3.0</v>
      </c>
      <c r="L548" s="18">
        <v>303.3</v>
      </c>
      <c r="M548" s="16" t="s">
        <v>1861</v>
      </c>
      <c r="N548" s="16" t="s">
        <v>1862</v>
      </c>
      <c r="O548" s="16" t="s">
        <v>1863</v>
      </c>
    </row>
    <row r="549" ht="15.75" customHeight="1">
      <c r="A549" s="23">
        <v>45303.0</v>
      </c>
      <c r="B549" s="16" t="s">
        <v>14</v>
      </c>
      <c r="C549" s="16" t="str">
        <f t="shared" si="1"/>
        <v>Bogotá</v>
      </c>
      <c r="D549" s="16" t="str">
        <f t="shared" si="2"/>
        <v>Bogotá</v>
      </c>
      <c r="E549" s="16" t="str">
        <f t="shared" si="3"/>
        <v>Bogotá</v>
      </c>
      <c r="F549" s="16" t="s">
        <v>85</v>
      </c>
      <c r="G549" s="17" t="str">
        <f>IFERROR(__xludf.DUMMYFUNCTION("SPLIT(F549:F1548,""-"") "),"Teléfono")</f>
        <v>Teléfono</v>
      </c>
      <c r="H549" s="16" t="str">
        <f>IFERROR(__xludf.DUMMYFUNCTION("""COMPUTED_VALUE"""),"Gama media")</f>
        <v>Gama media</v>
      </c>
      <c r="I549" s="16" t="str">
        <f>IFERROR(__xludf.DUMMYFUNCTION("""COMPUTED_VALUE"""),"32GB")</f>
        <v>32GB</v>
      </c>
      <c r="J549" s="18">
        <v>1311.78</v>
      </c>
      <c r="K549" s="16">
        <v>5.0</v>
      </c>
      <c r="L549" s="18">
        <v>6558.9</v>
      </c>
      <c r="M549" s="16" t="s">
        <v>2773</v>
      </c>
      <c r="N549" s="16" t="s">
        <v>2774</v>
      </c>
      <c r="O549" s="16" t="s">
        <v>2775</v>
      </c>
    </row>
    <row r="550" ht="15.75" customHeight="1">
      <c r="A550" s="19">
        <v>45582.0</v>
      </c>
      <c r="B550" s="16" t="s">
        <v>14</v>
      </c>
      <c r="C550" s="16" t="str">
        <f t="shared" si="1"/>
        <v>Bogotá</v>
      </c>
      <c r="D550" s="16" t="str">
        <f t="shared" si="2"/>
        <v>Bogotá</v>
      </c>
      <c r="E550" s="16" t="str">
        <f t="shared" si="3"/>
        <v>Bogotá</v>
      </c>
      <c r="F550" s="16" t="s">
        <v>369</v>
      </c>
      <c r="G550" s="17" t="str">
        <f>IFERROR(__xludf.DUMMYFUNCTION("SPLIT(F550:F1549,""-"") "),"Auriculares")</f>
        <v>Auriculares</v>
      </c>
      <c r="H550" s="16" t="str">
        <f>IFERROR(__xludf.DUMMYFUNCTION("""COMPUTED_VALUE"""),"Con cable")</f>
        <v>Con cable</v>
      </c>
      <c r="I550" s="16" t="str">
        <f>IFERROR(__xludf.DUMMYFUNCTION("""COMPUTED_VALUE"""),"4GB")</f>
        <v>4GB</v>
      </c>
      <c r="J550" s="18">
        <v>271.81</v>
      </c>
      <c r="K550" s="16">
        <v>2.0</v>
      </c>
      <c r="L550" s="22">
        <f>J550*K550</f>
        <v>543.62</v>
      </c>
      <c r="M550" s="16" t="s">
        <v>370</v>
      </c>
      <c r="N550" s="16" t="s">
        <v>371</v>
      </c>
      <c r="O550" s="16" t="s">
        <v>372</v>
      </c>
    </row>
    <row r="551" ht="15.75" customHeight="1">
      <c r="A551" s="19">
        <v>45593.0</v>
      </c>
      <c r="B551" s="16" t="s">
        <v>35</v>
      </c>
      <c r="C551" s="16" t="str">
        <f t="shared" si="1"/>
        <v>Medellín</v>
      </c>
      <c r="D551" s="16" t="str">
        <f t="shared" si="2"/>
        <v>Medellín</v>
      </c>
      <c r="E551" s="16" t="str">
        <f t="shared" si="3"/>
        <v>Medellín</v>
      </c>
      <c r="F551" s="16" t="s">
        <v>225</v>
      </c>
      <c r="G551" s="17" t="str">
        <f>IFERROR(__xludf.DUMMYFUNCTION("SPLIT(F551:F1550,""-"") "),"Laptop")</f>
        <v>Laptop</v>
      </c>
      <c r="H551" s="16" t="str">
        <f>IFERROR(__xludf.DUMMYFUNCTION("""COMPUTED_VALUE"""),"Gaming")</f>
        <v>Gaming</v>
      </c>
      <c r="I551" s="16" t="str">
        <f>IFERROR(__xludf.DUMMYFUNCTION("""COMPUTED_VALUE"""),"16GB")</f>
        <v>16GB</v>
      </c>
      <c r="J551" s="18">
        <v>371.09</v>
      </c>
      <c r="K551" s="16">
        <v>4.0</v>
      </c>
      <c r="L551" s="18">
        <v>1484.36</v>
      </c>
      <c r="M551" s="16" t="s">
        <v>712</v>
      </c>
      <c r="N551" s="16" t="s">
        <v>713</v>
      </c>
      <c r="O551" s="16" t="s">
        <v>714</v>
      </c>
    </row>
    <row r="552" ht="15.75" customHeight="1">
      <c r="A552" s="19">
        <v>45580.0</v>
      </c>
      <c r="B552" s="16" t="s">
        <v>9</v>
      </c>
      <c r="C552" s="16" t="str">
        <f t="shared" si="1"/>
        <v>Monterrey</v>
      </c>
      <c r="D552" s="16" t="str">
        <f t="shared" si="2"/>
        <v>Monterrey</v>
      </c>
      <c r="E552" s="16" t="str">
        <f t="shared" si="3"/>
        <v>Monterrey</v>
      </c>
      <c r="F552" s="16" t="s">
        <v>282</v>
      </c>
      <c r="G552" s="17" t="str">
        <f>IFERROR(__xludf.DUMMYFUNCTION("SPLIT(F552:F1551,""-"") "),"Tablet")</f>
        <v>Tablet</v>
      </c>
      <c r="H552" s="16" t="str">
        <f>IFERROR(__xludf.DUMMYFUNCTION("""COMPUTED_VALUE"""),"Pro")</f>
        <v>Pro</v>
      </c>
      <c r="I552" s="16" t="str">
        <f>IFERROR(__xludf.DUMMYFUNCTION("""COMPUTED_VALUE"""),"16GB")</f>
        <v>16GB</v>
      </c>
      <c r="J552" s="18">
        <v>1414.97</v>
      </c>
      <c r="K552" s="16">
        <v>1.0</v>
      </c>
      <c r="L552" s="18">
        <v>1414.97</v>
      </c>
      <c r="M552" s="16" t="s">
        <v>283</v>
      </c>
      <c r="N552" s="16" t="s">
        <v>284</v>
      </c>
      <c r="O552" s="16" t="s">
        <v>285</v>
      </c>
    </row>
    <row r="553" ht="15.75" customHeight="1">
      <c r="A553" s="19">
        <v>45590.0</v>
      </c>
      <c r="B553" s="16" t="s">
        <v>35</v>
      </c>
      <c r="C553" s="16" t="str">
        <f t="shared" si="1"/>
        <v>Medellín</v>
      </c>
      <c r="D553" s="16" t="str">
        <f t="shared" si="2"/>
        <v>Medellín</v>
      </c>
      <c r="E553" s="16" t="str">
        <f t="shared" si="3"/>
        <v>Medellín</v>
      </c>
      <c r="F553" s="16" t="s">
        <v>282</v>
      </c>
      <c r="G553" s="17" t="str">
        <f>IFERROR(__xludf.DUMMYFUNCTION("SPLIT(F553:F1552,""-"") "),"Tablet")</f>
        <v>Tablet</v>
      </c>
      <c r="H553" s="16" t="str">
        <f>IFERROR(__xludf.DUMMYFUNCTION("""COMPUTED_VALUE"""),"Pro")</f>
        <v>Pro</v>
      </c>
      <c r="I553" s="16" t="str">
        <f>IFERROR(__xludf.DUMMYFUNCTION("""COMPUTED_VALUE"""),"16GB")</f>
        <v>16GB</v>
      </c>
      <c r="J553" s="18">
        <v>1823.15</v>
      </c>
      <c r="K553" s="16">
        <v>5.0</v>
      </c>
      <c r="L553" s="18">
        <v>9115.75</v>
      </c>
      <c r="M553" s="16" t="s">
        <v>629</v>
      </c>
      <c r="N553" s="16" t="s">
        <v>630</v>
      </c>
      <c r="O553" s="16" t="s">
        <v>631</v>
      </c>
    </row>
    <row r="554" ht="15.75" customHeight="1">
      <c r="A554" s="23">
        <v>45422.0</v>
      </c>
      <c r="B554" s="16" t="s">
        <v>58</v>
      </c>
      <c r="C554" s="16" t="str">
        <f t="shared" si="1"/>
        <v>Guadalajara</v>
      </c>
      <c r="D554" s="16" t="str">
        <f t="shared" si="2"/>
        <v>Guadalajara</v>
      </c>
      <c r="E554" s="16" t="str">
        <f t="shared" si="3"/>
        <v>Guadalajara</v>
      </c>
      <c r="F554" s="16" t="s">
        <v>399</v>
      </c>
      <c r="G554" s="17" t="str">
        <f>IFERROR(__xludf.DUMMYFUNCTION("SPLIT(F554:F1553,""-"") "),"Laptop")</f>
        <v>Laptop</v>
      </c>
      <c r="H554" s="16" t="str">
        <f>IFERROR(__xludf.DUMMYFUNCTION("""COMPUTED_VALUE"""),"Gaming")</f>
        <v>Gaming</v>
      </c>
      <c r="I554" s="16" t="str">
        <f>IFERROR(__xludf.DUMMYFUNCTION("""COMPUTED_VALUE"""),"4GB")</f>
        <v>4GB</v>
      </c>
      <c r="J554" s="18">
        <v>1118.74</v>
      </c>
      <c r="K554" s="16">
        <v>4.0</v>
      </c>
      <c r="L554" s="18">
        <v>4474.96</v>
      </c>
      <c r="M554" s="16" t="s">
        <v>2776</v>
      </c>
      <c r="N554" s="16" t="s">
        <v>2777</v>
      </c>
      <c r="O554" s="16" t="s">
        <v>2778</v>
      </c>
    </row>
    <row r="555" ht="15.75" customHeight="1">
      <c r="A555" s="19">
        <v>45587.0</v>
      </c>
      <c r="B555" s="16" t="s">
        <v>35</v>
      </c>
      <c r="C555" s="16" t="str">
        <f t="shared" si="1"/>
        <v>Medellín</v>
      </c>
      <c r="D555" s="16" t="str">
        <f t="shared" si="2"/>
        <v>Medellín</v>
      </c>
      <c r="E555" s="16" t="str">
        <f t="shared" si="3"/>
        <v>Medellín</v>
      </c>
      <c r="F555" s="16" t="s">
        <v>259</v>
      </c>
      <c r="G555" s="17" t="str">
        <f>IFERROR(__xludf.DUMMYFUNCTION("SPLIT(F555:F1554,""-"") "),"Auriculares")</f>
        <v>Auriculares</v>
      </c>
      <c r="H555" s="16" t="str">
        <f>IFERROR(__xludf.DUMMYFUNCTION("""COMPUTED_VALUE"""),"Cancelación de ruido")</f>
        <v>Cancelación de ruido</v>
      </c>
      <c r="I555" s="16" t="str">
        <f>IFERROR(__xludf.DUMMYFUNCTION("""COMPUTED_VALUE"""),"8GB")</f>
        <v>8GB</v>
      </c>
      <c r="J555" s="18">
        <v>1511.08</v>
      </c>
      <c r="K555" s="16">
        <v>2.0</v>
      </c>
      <c r="L555" s="18">
        <v>3022.16</v>
      </c>
      <c r="M555" s="16" t="s">
        <v>529</v>
      </c>
      <c r="N555" s="16" t="s">
        <v>530</v>
      </c>
      <c r="O555" s="16" t="s">
        <v>531</v>
      </c>
    </row>
    <row r="556" ht="15.75" customHeight="1">
      <c r="A556" s="19">
        <v>45611.0</v>
      </c>
      <c r="B556" s="16" t="s">
        <v>58</v>
      </c>
      <c r="C556" s="16" t="str">
        <f t="shared" si="1"/>
        <v>Guadalajara</v>
      </c>
      <c r="D556" s="16" t="str">
        <f t="shared" si="2"/>
        <v>Guadalajara</v>
      </c>
      <c r="E556" s="16" t="str">
        <f t="shared" si="3"/>
        <v>Guadalajara</v>
      </c>
      <c r="F556" s="16" t="s">
        <v>76</v>
      </c>
      <c r="G556" s="17" t="str">
        <f>IFERROR(__xludf.DUMMYFUNCTION("SPLIT(F556:F1555,""-"") "),"Tablet")</f>
        <v>Tablet</v>
      </c>
      <c r="H556" s="16" t="str">
        <f>IFERROR(__xludf.DUMMYFUNCTION("""COMPUTED_VALUE"""),"Mini")</f>
        <v>Mini</v>
      </c>
      <c r="I556" s="16" t="str">
        <f>IFERROR(__xludf.DUMMYFUNCTION("""COMPUTED_VALUE"""),"32GB")</f>
        <v>32GB</v>
      </c>
      <c r="J556" s="18">
        <v>210.37</v>
      </c>
      <c r="K556" s="16">
        <v>1.0</v>
      </c>
      <c r="L556" s="18">
        <v>210.37</v>
      </c>
      <c r="M556" s="16" t="s">
        <v>1119</v>
      </c>
      <c r="N556" s="16" t="s">
        <v>1120</v>
      </c>
      <c r="O556" s="16" t="s">
        <v>1121</v>
      </c>
    </row>
    <row r="557" ht="15.75" customHeight="1">
      <c r="A557" s="19">
        <v>45617.0</v>
      </c>
      <c r="B557" s="16" t="s">
        <v>58</v>
      </c>
      <c r="C557" s="16" t="str">
        <f t="shared" si="1"/>
        <v>Guadalajara</v>
      </c>
      <c r="D557" s="16" t="str">
        <f t="shared" si="2"/>
        <v>Guadalajara</v>
      </c>
      <c r="E557" s="16" t="str">
        <f t="shared" si="3"/>
        <v>Guadalajara</v>
      </c>
      <c r="F557" s="16" t="s">
        <v>225</v>
      </c>
      <c r="G557" s="17" t="str">
        <f>IFERROR(__xludf.DUMMYFUNCTION("SPLIT(F557:F1556,""-"") "),"Laptop")</f>
        <v>Laptop</v>
      </c>
      <c r="H557" s="16" t="str">
        <f>IFERROR(__xludf.DUMMYFUNCTION("""COMPUTED_VALUE"""),"Gaming")</f>
        <v>Gaming</v>
      </c>
      <c r="I557" s="16" t="str">
        <f>IFERROR(__xludf.DUMMYFUNCTION("""COMPUTED_VALUE"""),"16GB")</f>
        <v>16GB</v>
      </c>
      <c r="J557" s="18">
        <v>495.51</v>
      </c>
      <c r="K557" s="16">
        <v>2.0</v>
      </c>
      <c r="L557" s="18">
        <v>991.02</v>
      </c>
      <c r="M557" s="16" t="s">
        <v>1347</v>
      </c>
      <c r="N557" s="16" t="s">
        <v>1348</v>
      </c>
      <c r="O557" s="16" t="s">
        <v>1349</v>
      </c>
    </row>
    <row r="558" ht="15.75" customHeight="1">
      <c r="A558" s="19">
        <v>45588.0</v>
      </c>
      <c r="B558" s="16" t="s">
        <v>9</v>
      </c>
      <c r="C558" s="16" t="str">
        <f t="shared" si="1"/>
        <v>Monterrey</v>
      </c>
      <c r="D558" s="16" t="str">
        <f t="shared" si="2"/>
        <v>Monterrey</v>
      </c>
      <c r="E558" s="16" t="str">
        <f t="shared" si="3"/>
        <v>Monterrey</v>
      </c>
      <c r="F558" s="16" t="s">
        <v>190</v>
      </c>
      <c r="G558" s="17" t="str">
        <f>IFERROR(__xludf.DUMMYFUNCTION("SPLIT(F558:F1557,""-"") "),"Laptop")</f>
        <v>Laptop</v>
      </c>
      <c r="H558" s="16" t="str">
        <f>IFERROR(__xludf.DUMMYFUNCTION("""COMPUTED_VALUE"""),"Ultraliviana")</f>
        <v>Ultraliviana</v>
      </c>
      <c r="I558" s="16" t="str">
        <f>IFERROR(__xludf.DUMMYFUNCTION("""COMPUTED_VALUE"""),"16GB")</f>
        <v>16GB</v>
      </c>
      <c r="J558" s="18">
        <v>1327.27</v>
      </c>
      <c r="K558" s="16">
        <v>2.0</v>
      </c>
      <c r="L558" s="18">
        <v>2654.54</v>
      </c>
      <c r="M558" s="16" t="s">
        <v>559</v>
      </c>
      <c r="N558" s="16" t="s">
        <v>560</v>
      </c>
      <c r="O558" s="21" t="s">
        <v>561</v>
      </c>
    </row>
    <row r="559" ht="15.75" customHeight="1">
      <c r="A559" s="19">
        <v>45612.0</v>
      </c>
      <c r="B559" s="16" t="s">
        <v>58</v>
      </c>
      <c r="C559" s="16" t="str">
        <f t="shared" si="1"/>
        <v>Guadalajara</v>
      </c>
      <c r="D559" s="16" t="str">
        <f t="shared" si="2"/>
        <v>Guadalajara</v>
      </c>
      <c r="E559" s="16" t="str">
        <f t="shared" si="3"/>
        <v>Guadalajara</v>
      </c>
      <c r="F559" s="16" t="s">
        <v>311</v>
      </c>
      <c r="G559" s="17" t="str">
        <f>IFERROR(__xludf.DUMMYFUNCTION("SPLIT(F559:F1558,""-"") "),"Laptop")</f>
        <v>Laptop</v>
      </c>
      <c r="H559" s="16" t="str">
        <f>IFERROR(__xludf.DUMMYFUNCTION("""COMPUTED_VALUE"""),"Ultraliviana")</f>
        <v>Ultraliviana</v>
      </c>
      <c r="I559" s="16" t="str">
        <f>IFERROR(__xludf.DUMMYFUNCTION("""COMPUTED_VALUE"""),"32GB")</f>
        <v>32GB</v>
      </c>
      <c r="J559" s="18">
        <v>1101.82</v>
      </c>
      <c r="K559" s="16">
        <v>5.0</v>
      </c>
      <c r="L559" s="18">
        <v>5509.1</v>
      </c>
      <c r="M559" s="16" t="s">
        <v>1170</v>
      </c>
      <c r="N559" s="16" t="s">
        <v>1171</v>
      </c>
      <c r="O559" s="16" t="s">
        <v>1172</v>
      </c>
    </row>
    <row r="560" ht="15.75" customHeight="1">
      <c r="A560" s="19">
        <v>45611.0</v>
      </c>
      <c r="B560" s="16" t="s">
        <v>35</v>
      </c>
      <c r="C560" s="16" t="str">
        <f t="shared" si="1"/>
        <v>Medellín</v>
      </c>
      <c r="D560" s="16" t="str">
        <f t="shared" si="2"/>
        <v>Medellín</v>
      </c>
      <c r="E560" s="16" t="str">
        <f t="shared" si="3"/>
        <v>Medellín</v>
      </c>
      <c r="F560" s="16" t="s">
        <v>63</v>
      </c>
      <c r="G560" s="17" t="str">
        <f>IFERROR(__xludf.DUMMYFUNCTION("SPLIT(F560:F1559,""-"") "),"Laptop")</f>
        <v>Laptop</v>
      </c>
      <c r="H560" s="16" t="str">
        <f>IFERROR(__xludf.DUMMYFUNCTION("""COMPUTED_VALUE"""),"Ultraliviana")</f>
        <v>Ultraliviana</v>
      </c>
      <c r="I560" s="16" t="str">
        <f>IFERROR(__xludf.DUMMYFUNCTION("""COMPUTED_VALUE"""),"4GB")</f>
        <v>4GB</v>
      </c>
      <c r="J560" s="18">
        <v>1767.16</v>
      </c>
      <c r="K560" s="16">
        <v>1.0</v>
      </c>
      <c r="L560" s="18">
        <v>1767.16</v>
      </c>
      <c r="M560" s="16" t="s">
        <v>1122</v>
      </c>
      <c r="N560" s="16" t="s">
        <v>1123</v>
      </c>
      <c r="O560" s="16" t="s">
        <v>1124</v>
      </c>
    </row>
    <row r="561" ht="15.75" customHeight="1">
      <c r="A561" s="19">
        <v>45623.0</v>
      </c>
      <c r="B561" s="16" t="s">
        <v>14</v>
      </c>
      <c r="C561" s="16" t="str">
        <f t="shared" si="1"/>
        <v>Bogotá</v>
      </c>
      <c r="D561" s="16" t="str">
        <f t="shared" si="2"/>
        <v>Bogotá</v>
      </c>
      <c r="E561" s="16" t="str">
        <f t="shared" si="3"/>
        <v>Bogotá</v>
      </c>
      <c r="F561" s="16" t="s">
        <v>153</v>
      </c>
      <c r="G561" s="17" t="str">
        <f>IFERROR(__xludf.DUMMYFUNCTION("SPLIT(F561:F1560,""-"") "),"Laptop")</f>
        <v>Laptop</v>
      </c>
      <c r="H561" s="16" t="str">
        <f>IFERROR(__xludf.DUMMYFUNCTION("""COMPUTED_VALUE"""),"Gaming")</f>
        <v>Gaming</v>
      </c>
      <c r="I561" s="16" t="str">
        <f>IFERROR(__xludf.DUMMYFUNCTION("""COMPUTED_VALUE"""),"8GB")</f>
        <v>8GB</v>
      </c>
      <c r="J561" s="18">
        <v>764.41</v>
      </c>
      <c r="K561" s="16">
        <v>3.0</v>
      </c>
      <c r="L561" s="18">
        <v>2293.23</v>
      </c>
      <c r="M561" s="16" t="s">
        <v>1547</v>
      </c>
      <c r="N561" s="16" t="s">
        <v>1548</v>
      </c>
      <c r="O561" s="16" t="s">
        <v>1549</v>
      </c>
    </row>
    <row r="562" ht="15.75" customHeight="1">
      <c r="A562" s="19">
        <v>45626.0</v>
      </c>
      <c r="B562" s="16" t="s">
        <v>9</v>
      </c>
      <c r="C562" s="16" t="str">
        <f t="shared" si="1"/>
        <v>Monterrey</v>
      </c>
      <c r="D562" s="16" t="str">
        <f t="shared" si="2"/>
        <v>Monterrey</v>
      </c>
      <c r="E562" s="16" t="str">
        <f t="shared" si="3"/>
        <v>Monterrey</v>
      </c>
      <c r="F562" s="16" t="s">
        <v>1626</v>
      </c>
      <c r="G562" s="17" t="str">
        <f>IFERROR(__xludf.DUMMYFUNCTION("SPLIT(F562:F1561,""-"") "),"Tablet")</f>
        <v>Tablet</v>
      </c>
      <c r="H562" s="16" t="str">
        <f>IFERROR(__xludf.DUMMYFUNCTION("""COMPUTED_VALUE"""),"Pro")</f>
        <v>Pro</v>
      </c>
      <c r="I562" s="16" t="str">
        <f>IFERROR(__xludf.DUMMYFUNCTION("""COMPUTED_VALUE"""),"4GB ")</f>
        <v>4GB </v>
      </c>
      <c r="J562" s="18">
        <v>2148.99</v>
      </c>
      <c r="K562" s="16">
        <v>5.0</v>
      </c>
      <c r="L562" s="18">
        <v>10744.95</v>
      </c>
      <c r="M562" s="16" t="s">
        <v>1627</v>
      </c>
      <c r="N562" s="16" t="s">
        <v>1628</v>
      </c>
      <c r="O562" s="16" t="s">
        <v>1629</v>
      </c>
    </row>
    <row r="563" ht="15.75" customHeight="1">
      <c r="A563" s="19">
        <v>45649.0</v>
      </c>
      <c r="B563" s="16" t="s">
        <v>2359</v>
      </c>
      <c r="C563" s="16" t="str">
        <f t="shared" si="1"/>
        <v>Ciudad De M√©Xico</v>
      </c>
      <c r="D563" s="16" t="str">
        <f t="shared" si="2"/>
        <v>Ciudad De M√©Xico</v>
      </c>
      <c r="E563" s="16" t="str">
        <f t="shared" si="3"/>
        <v>Ciudad De MéXico</v>
      </c>
      <c r="F563" s="16" t="s">
        <v>90</v>
      </c>
      <c r="G563" s="17" t="str">
        <f>IFERROR(__xludf.DUMMYFUNCTION("SPLIT(F563:F1562,""-"") "),"Laptop")</f>
        <v>Laptop</v>
      </c>
      <c r="H563" s="16" t="str">
        <f>IFERROR(__xludf.DUMMYFUNCTION("""COMPUTED_VALUE"""),"Gaming")</f>
        <v>Gaming</v>
      </c>
      <c r="I563" s="16" t="str">
        <f>IFERROR(__xludf.DUMMYFUNCTION("""COMPUTED_VALUE"""),"32GB")</f>
        <v>32GB</v>
      </c>
      <c r="J563" s="18">
        <v>1663.22</v>
      </c>
      <c r="K563" s="16">
        <v>5.0</v>
      </c>
      <c r="L563" s="18">
        <v>8316.1</v>
      </c>
      <c r="M563" s="16" t="s">
        <v>2108</v>
      </c>
      <c r="N563" s="16" t="s">
        <v>2109</v>
      </c>
      <c r="O563" s="16" t="s">
        <v>2110</v>
      </c>
    </row>
    <row r="564" ht="15.75" customHeight="1">
      <c r="A564" s="19">
        <v>45591.0</v>
      </c>
      <c r="B564" s="16" t="s">
        <v>14</v>
      </c>
      <c r="C564" s="16" t="str">
        <f t="shared" si="1"/>
        <v>Bogotá</v>
      </c>
      <c r="D564" s="16" t="str">
        <f t="shared" si="2"/>
        <v>Bogotá</v>
      </c>
      <c r="E564" s="16" t="str">
        <f t="shared" si="3"/>
        <v>Bogotá</v>
      </c>
      <c r="F564" s="16" t="s">
        <v>10</v>
      </c>
      <c r="G564" s="17" t="str">
        <f>IFERROR(__xludf.DUMMYFUNCTION("SPLIT(F564:F1563,""-"") "),"Tablet")</f>
        <v>Tablet</v>
      </c>
      <c r="H564" s="16" t="str">
        <f>IFERROR(__xludf.DUMMYFUNCTION("""COMPUTED_VALUE"""),"Estándar")</f>
        <v>Estándar</v>
      </c>
      <c r="I564" s="16" t="str">
        <f>IFERROR(__xludf.DUMMYFUNCTION("""COMPUTED_VALUE"""),"8GB")</f>
        <v>8GB</v>
      </c>
      <c r="J564" s="18">
        <v>1898.24</v>
      </c>
      <c r="K564" s="16">
        <v>1.0</v>
      </c>
      <c r="L564" s="18">
        <v>1898.24</v>
      </c>
      <c r="M564" s="16" t="s">
        <v>654</v>
      </c>
      <c r="N564" s="16" t="s">
        <v>655</v>
      </c>
      <c r="O564" s="16" t="s">
        <v>656</v>
      </c>
    </row>
    <row r="565" ht="15.75" customHeight="1">
      <c r="A565" s="23">
        <v>45607.0</v>
      </c>
      <c r="B565" s="16" t="s">
        <v>2359</v>
      </c>
      <c r="C565" s="16" t="str">
        <f t="shared" si="1"/>
        <v>Ciudad De M√©Xico</v>
      </c>
      <c r="D565" s="16" t="str">
        <f t="shared" si="2"/>
        <v>Ciudad De M√©Xico</v>
      </c>
      <c r="E565" s="16" t="str">
        <f t="shared" si="3"/>
        <v>Ciudad De MéXico</v>
      </c>
      <c r="F565" s="16" t="s">
        <v>190</v>
      </c>
      <c r="G565" s="17" t="str">
        <f>IFERROR(__xludf.DUMMYFUNCTION("SPLIT(F565:F1564,""-"") "),"Laptop")</f>
        <v>Laptop</v>
      </c>
      <c r="H565" s="16" t="str">
        <f>IFERROR(__xludf.DUMMYFUNCTION("""COMPUTED_VALUE"""),"Ultraliviana")</f>
        <v>Ultraliviana</v>
      </c>
      <c r="I565" s="16" t="str">
        <f>IFERROR(__xludf.DUMMYFUNCTION("""COMPUTED_VALUE"""),"16GB")</f>
        <v>16GB</v>
      </c>
      <c r="J565" s="18">
        <v>569.35</v>
      </c>
      <c r="K565" s="16">
        <v>4.0</v>
      </c>
      <c r="L565" s="18">
        <v>2277.4</v>
      </c>
      <c r="M565" s="16" t="s">
        <v>981</v>
      </c>
      <c r="N565" s="16" t="s">
        <v>982</v>
      </c>
      <c r="O565" s="16" t="s">
        <v>983</v>
      </c>
    </row>
    <row r="566" ht="15.75" customHeight="1">
      <c r="A566" s="23">
        <v>45302.0</v>
      </c>
      <c r="B566" s="16" t="s">
        <v>14</v>
      </c>
      <c r="C566" s="16" t="str">
        <f t="shared" si="1"/>
        <v>Bogotá</v>
      </c>
      <c r="D566" s="16" t="str">
        <f t="shared" si="2"/>
        <v>Bogotá</v>
      </c>
      <c r="E566" s="16" t="str">
        <f t="shared" si="3"/>
        <v>Bogotá</v>
      </c>
      <c r="F566" s="16" t="s">
        <v>389</v>
      </c>
      <c r="G566" s="17" t="str">
        <f>IFERROR(__xludf.DUMMYFUNCTION("SPLIT(F566:F1565,""-"") "),"Auriculares")</f>
        <v>Auriculares</v>
      </c>
      <c r="H566" s="16" t="str">
        <f>IFERROR(__xludf.DUMMYFUNCTION("""COMPUTED_VALUE"""),"Cancelación de ruido")</f>
        <v>Cancelación de ruido</v>
      </c>
      <c r="I566" s="16" t="str">
        <f>IFERROR(__xludf.DUMMYFUNCTION("""COMPUTED_VALUE"""),"4GB")</f>
        <v>4GB</v>
      </c>
      <c r="J566" s="18">
        <v>2312.7</v>
      </c>
      <c r="K566" s="16">
        <v>3.0</v>
      </c>
      <c r="L566" s="18">
        <v>6938.1</v>
      </c>
      <c r="M566" s="16" t="s">
        <v>2779</v>
      </c>
      <c r="N566" s="16" t="s">
        <v>2780</v>
      </c>
      <c r="O566" s="16" t="s">
        <v>2781</v>
      </c>
    </row>
    <row r="567" ht="15.75" customHeight="1">
      <c r="A567" s="23">
        <v>45606.0</v>
      </c>
      <c r="B567" s="16" t="s">
        <v>75</v>
      </c>
      <c r="C567" s="16" t="str">
        <f t="shared" si="1"/>
        <v>Cali</v>
      </c>
      <c r="D567" s="16" t="str">
        <f t="shared" si="2"/>
        <v>Cali</v>
      </c>
      <c r="E567" s="16" t="str">
        <f t="shared" si="3"/>
        <v>Cali</v>
      </c>
      <c r="F567" s="16" t="s">
        <v>71</v>
      </c>
      <c r="G567" s="17" t="str">
        <f>IFERROR(__xludf.DUMMYFUNCTION("SPLIT(F567:F1566,""-"") "),"Auriculares")</f>
        <v>Auriculares</v>
      </c>
      <c r="H567" s="16" t="str">
        <f>IFERROR(__xludf.DUMMYFUNCTION("""COMPUTED_VALUE"""),"Bluetooth")</f>
        <v>Bluetooth</v>
      </c>
      <c r="I567" s="16" t="str">
        <f>IFERROR(__xludf.DUMMYFUNCTION("""COMPUTED_VALUE"""),"16GB")</f>
        <v>16GB</v>
      </c>
      <c r="J567" s="18">
        <v>360.98</v>
      </c>
      <c r="K567" s="16">
        <v>3.0</v>
      </c>
      <c r="L567" s="18">
        <v>1082.94</v>
      </c>
      <c r="M567" s="16" t="s">
        <v>954</v>
      </c>
      <c r="N567" s="16" t="s">
        <v>955</v>
      </c>
      <c r="O567" s="16" t="s">
        <v>956</v>
      </c>
    </row>
    <row r="568" ht="15.75" customHeight="1">
      <c r="A568" s="19">
        <v>45585.0</v>
      </c>
      <c r="B568" s="16" t="s">
        <v>58</v>
      </c>
      <c r="C568" s="16" t="str">
        <f t="shared" si="1"/>
        <v>Guadalajara</v>
      </c>
      <c r="D568" s="16" t="str">
        <f t="shared" si="2"/>
        <v>Guadalajara</v>
      </c>
      <c r="E568" s="16" t="str">
        <f t="shared" si="3"/>
        <v>Guadalajara</v>
      </c>
      <c r="F568" s="16" t="s">
        <v>139</v>
      </c>
      <c r="G568" s="17" t="str">
        <f>IFERROR(__xludf.DUMMYFUNCTION("SPLIT(F568:F1567,""-"") "),"Auriculares")</f>
        <v>Auriculares</v>
      </c>
      <c r="H568" s="16" t="str">
        <f>IFERROR(__xludf.DUMMYFUNCTION("""COMPUTED_VALUE"""),"Con cable")</f>
        <v>Con cable</v>
      </c>
      <c r="I568" s="16" t="str">
        <f>IFERROR(__xludf.DUMMYFUNCTION("""COMPUTED_VALUE"""),"16GB")</f>
        <v>16GB</v>
      </c>
      <c r="J568" s="18">
        <v>320.64</v>
      </c>
      <c r="K568" s="16">
        <v>5.0</v>
      </c>
      <c r="L568" s="18">
        <v>1603.2</v>
      </c>
      <c r="M568" s="16" t="s">
        <v>477</v>
      </c>
      <c r="N568" s="16" t="s">
        <v>478</v>
      </c>
      <c r="O568" s="16" t="s">
        <v>479</v>
      </c>
    </row>
    <row r="569" ht="15.75" customHeight="1">
      <c r="A569" s="19">
        <v>45612.0</v>
      </c>
      <c r="B569" s="16" t="s">
        <v>58</v>
      </c>
      <c r="C569" s="16" t="str">
        <f t="shared" si="1"/>
        <v>Guadalajara</v>
      </c>
      <c r="D569" s="16" t="str">
        <f t="shared" si="2"/>
        <v>Guadalajara</v>
      </c>
      <c r="E569" s="16" t="str">
        <f t="shared" si="3"/>
        <v>Guadalajara</v>
      </c>
      <c r="F569" s="16" t="s">
        <v>182</v>
      </c>
      <c r="G569" s="17" t="str">
        <f>IFERROR(__xludf.DUMMYFUNCTION("SPLIT(F569:F1568,""-"") "),"Tablet")</f>
        <v>Tablet</v>
      </c>
      <c r="H569" s="16" t="str">
        <f>IFERROR(__xludf.DUMMYFUNCTION("""COMPUTED_VALUE"""),"Mini")</f>
        <v>Mini</v>
      </c>
      <c r="I569" s="16" t="str">
        <f>IFERROR(__xludf.DUMMYFUNCTION("""COMPUTED_VALUE"""),"4GB")</f>
        <v>4GB</v>
      </c>
      <c r="J569" s="18">
        <v>1843.37</v>
      </c>
      <c r="K569" s="16">
        <v>3.0</v>
      </c>
      <c r="L569" s="18">
        <v>5530.11</v>
      </c>
      <c r="M569" s="16" t="s">
        <v>1173</v>
      </c>
      <c r="N569" s="16" t="s">
        <v>1174</v>
      </c>
      <c r="O569" s="16" t="s">
        <v>1175</v>
      </c>
    </row>
    <row r="570" ht="15.75" customHeight="1">
      <c r="A570" s="25">
        <v>45581.0</v>
      </c>
      <c r="B570" s="16" t="s">
        <v>75</v>
      </c>
      <c r="C570" s="16" t="str">
        <f t="shared" si="1"/>
        <v>Cali</v>
      </c>
      <c r="D570" s="16" t="str">
        <f t="shared" si="2"/>
        <v>Cali</v>
      </c>
      <c r="E570" s="16" t="str">
        <f t="shared" si="3"/>
        <v>Cali</v>
      </c>
      <c r="F570" s="16" t="s">
        <v>117</v>
      </c>
      <c r="G570" s="17" t="str">
        <f>IFERROR(__xludf.DUMMYFUNCTION("SPLIT(F570:F1569,""-"") "),"Teléfono")</f>
        <v>Teléfono</v>
      </c>
      <c r="H570" s="16" t="str">
        <f>IFERROR(__xludf.DUMMYFUNCTION("""COMPUTED_VALUE"""),"Gama baja")</f>
        <v>Gama baja</v>
      </c>
      <c r="I570" s="16" t="str">
        <f>IFERROR(__xludf.DUMMYFUNCTION("""COMPUTED_VALUE"""),"16GB")</f>
        <v>16GB</v>
      </c>
      <c r="J570" s="18">
        <v>833.39</v>
      </c>
      <c r="K570" s="16">
        <v>1.0</v>
      </c>
      <c r="L570" s="18">
        <v>833.39</v>
      </c>
      <c r="M570" s="16" t="s">
        <v>329</v>
      </c>
      <c r="N570" s="16" t="s">
        <v>330</v>
      </c>
      <c r="O570" s="16" t="s">
        <v>331</v>
      </c>
    </row>
    <row r="571" ht="15.75" customHeight="1">
      <c r="A571" s="23">
        <v>45363.0</v>
      </c>
      <c r="B571" s="16" t="s">
        <v>75</v>
      </c>
      <c r="C571" s="16" t="str">
        <f t="shared" si="1"/>
        <v>Cali</v>
      </c>
      <c r="D571" s="16" t="str">
        <f t="shared" si="2"/>
        <v>Cali</v>
      </c>
      <c r="E571" s="16" t="str">
        <f t="shared" si="3"/>
        <v>Cali</v>
      </c>
      <c r="F571" s="16" t="s">
        <v>117</v>
      </c>
      <c r="G571" s="17" t="str">
        <f>IFERROR(__xludf.DUMMYFUNCTION("SPLIT(F571:F1570,""-"") "),"Teléfono")</f>
        <v>Teléfono</v>
      </c>
      <c r="H571" s="16" t="str">
        <f>IFERROR(__xludf.DUMMYFUNCTION("""COMPUTED_VALUE"""),"Gama baja")</f>
        <v>Gama baja</v>
      </c>
      <c r="I571" s="16" t="str">
        <f>IFERROR(__xludf.DUMMYFUNCTION("""COMPUTED_VALUE"""),"16GB")</f>
        <v>16GB</v>
      </c>
      <c r="J571" s="18">
        <v>1321.79</v>
      </c>
      <c r="K571" s="16">
        <v>5.0</v>
      </c>
      <c r="L571" s="18">
        <v>6608.95</v>
      </c>
      <c r="M571" s="16" t="s">
        <v>2782</v>
      </c>
      <c r="N571" s="16" t="s">
        <v>2783</v>
      </c>
      <c r="O571" s="16" t="s">
        <v>2784</v>
      </c>
    </row>
    <row r="572" ht="15.75" customHeight="1">
      <c r="A572" s="23">
        <v>45302.0</v>
      </c>
      <c r="B572" s="16" t="s">
        <v>75</v>
      </c>
      <c r="C572" s="16" t="str">
        <f t="shared" si="1"/>
        <v>Cali</v>
      </c>
      <c r="D572" s="16" t="str">
        <f t="shared" si="2"/>
        <v>Cali</v>
      </c>
      <c r="E572" s="16" t="str">
        <f t="shared" si="3"/>
        <v>Cali</v>
      </c>
      <c r="F572" s="16" t="s">
        <v>81</v>
      </c>
      <c r="G572" s="17" t="str">
        <f>IFERROR(__xludf.DUMMYFUNCTION("SPLIT(F572:F1571,""-"") "),"Laptop")</f>
        <v>Laptop</v>
      </c>
      <c r="H572" s="16" t="str">
        <f>IFERROR(__xludf.DUMMYFUNCTION("""COMPUTED_VALUE"""),"Oficina")</f>
        <v>Oficina</v>
      </c>
      <c r="I572" s="16" t="str">
        <f>IFERROR(__xludf.DUMMYFUNCTION("""COMPUTED_VALUE"""),"16GB")</f>
        <v>16GB</v>
      </c>
      <c r="J572" s="18">
        <v>1286.13</v>
      </c>
      <c r="K572" s="16">
        <v>4.0</v>
      </c>
      <c r="L572" s="18">
        <v>5144.52</v>
      </c>
      <c r="M572" s="16" t="s">
        <v>2785</v>
      </c>
      <c r="N572" s="16" t="s">
        <v>2786</v>
      </c>
      <c r="O572" s="16" t="s">
        <v>2787</v>
      </c>
    </row>
    <row r="573" ht="15.75" customHeight="1">
      <c r="A573" s="23">
        <v>45606.0</v>
      </c>
      <c r="B573" s="16" t="s">
        <v>9</v>
      </c>
      <c r="C573" s="16" t="str">
        <f t="shared" si="1"/>
        <v>Monterrey</v>
      </c>
      <c r="D573" s="16" t="str">
        <f t="shared" si="2"/>
        <v>Monterrey</v>
      </c>
      <c r="E573" s="16" t="str">
        <f t="shared" si="3"/>
        <v>Monterrey</v>
      </c>
      <c r="F573" s="16" t="s">
        <v>10</v>
      </c>
      <c r="G573" s="17" t="str">
        <f>IFERROR(__xludf.DUMMYFUNCTION("SPLIT(F573:F1572,""-"") "),"Tablet")</f>
        <v>Tablet</v>
      </c>
      <c r="H573" s="16" t="str">
        <f>IFERROR(__xludf.DUMMYFUNCTION("""COMPUTED_VALUE"""),"Estándar")</f>
        <v>Estándar</v>
      </c>
      <c r="I573" s="16" t="str">
        <f>IFERROR(__xludf.DUMMYFUNCTION("""COMPUTED_VALUE"""),"8GB")</f>
        <v>8GB</v>
      </c>
      <c r="J573" s="18">
        <v>1447.41</v>
      </c>
      <c r="K573" s="16">
        <v>4.0</v>
      </c>
      <c r="L573" s="18">
        <v>5789.64</v>
      </c>
      <c r="M573" s="16" t="s">
        <v>957</v>
      </c>
      <c r="N573" s="16" t="s">
        <v>958</v>
      </c>
      <c r="O573" s="16" t="s">
        <v>959</v>
      </c>
    </row>
    <row r="574" ht="15.75" customHeight="1">
      <c r="A574" s="23">
        <v>45423.0</v>
      </c>
      <c r="B574" s="16" t="s">
        <v>58</v>
      </c>
      <c r="C574" s="16" t="str">
        <f t="shared" si="1"/>
        <v>Guadalajara</v>
      </c>
      <c r="D574" s="16" t="str">
        <f t="shared" si="2"/>
        <v>Guadalajara</v>
      </c>
      <c r="E574" s="16" t="str">
        <f t="shared" si="3"/>
        <v>Guadalajara</v>
      </c>
      <c r="F574" s="16" t="s">
        <v>369</v>
      </c>
      <c r="G574" s="17" t="str">
        <f>IFERROR(__xludf.DUMMYFUNCTION("SPLIT(F574:F1573,""-"") "),"Auriculares")</f>
        <v>Auriculares</v>
      </c>
      <c r="H574" s="16" t="str">
        <f>IFERROR(__xludf.DUMMYFUNCTION("""COMPUTED_VALUE"""),"Con cable")</f>
        <v>Con cable</v>
      </c>
      <c r="I574" s="16" t="str">
        <f>IFERROR(__xludf.DUMMYFUNCTION("""COMPUTED_VALUE"""),"4GB")</f>
        <v>4GB</v>
      </c>
      <c r="J574" s="18">
        <v>1456.11</v>
      </c>
      <c r="K574" s="16">
        <v>5.0</v>
      </c>
      <c r="L574" s="18">
        <v>7280.55</v>
      </c>
      <c r="M574" s="16" t="s">
        <v>2788</v>
      </c>
      <c r="N574" s="16" t="s">
        <v>2789</v>
      </c>
      <c r="O574" s="16" t="s">
        <v>2790</v>
      </c>
    </row>
    <row r="575" ht="15.75" customHeight="1">
      <c r="A575" s="23">
        <v>45545.0</v>
      </c>
      <c r="B575" s="16" t="s">
        <v>2359</v>
      </c>
      <c r="C575" s="16" t="str">
        <f t="shared" si="1"/>
        <v>Ciudad De M√©Xico</v>
      </c>
      <c r="D575" s="16" t="str">
        <f t="shared" si="2"/>
        <v>Ciudad De M√©Xico</v>
      </c>
      <c r="E575" s="16" t="str">
        <f t="shared" si="3"/>
        <v>Ciudad De MéXico</v>
      </c>
      <c r="F575" s="16" t="s">
        <v>389</v>
      </c>
      <c r="G575" s="17" t="str">
        <f>IFERROR(__xludf.DUMMYFUNCTION("SPLIT(F575:F1574,""-"") "),"Auriculares")</f>
        <v>Auriculares</v>
      </c>
      <c r="H575" s="16" t="str">
        <f>IFERROR(__xludf.DUMMYFUNCTION("""COMPUTED_VALUE"""),"Cancelación de ruido")</f>
        <v>Cancelación de ruido</v>
      </c>
      <c r="I575" s="16" t="str">
        <f>IFERROR(__xludf.DUMMYFUNCTION("""COMPUTED_VALUE"""),"4GB")</f>
        <v>4GB</v>
      </c>
      <c r="J575" s="18">
        <v>1286.15</v>
      </c>
      <c r="K575" s="16">
        <v>2.0</v>
      </c>
      <c r="L575" s="18">
        <v>2572.3</v>
      </c>
      <c r="M575" s="16" t="s">
        <v>2791</v>
      </c>
      <c r="N575" s="16" t="s">
        <v>2792</v>
      </c>
      <c r="O575" s="16" t="s">
        <v>2793</v>
      </c>
    </row>
    <row r="576" ht="15.75" customHeight="1">
      <c r="A576" s="23">
        <v>45423.0</v>
      </c>
      <c r="B576" s="16" t="s">
        <v>75</v>
      </c>
      <c r="C576" s="16" t="str">
        <f t="shared" si="1"/>
        <v>Cali</v>
      </c>
      <c r="D576" s="16" t="str">
        <f t="shared" si="2"/>
        <v>Cali</v>
      </c>
      <c r="E576" s="16" t="str">
        <f t="shared" si="3"/>
        <v>Cali</v>
      </c>
      <c r="F576" s="16" t="s">
        <v>315</v>
      </c>
      <c r="G576" s="17" t="str">
        <f>IFERROR(__xludf.DUMMYFUNCTION("SPLIT(F576:F1575,""-"") "),"Teléfono")</f>
        <v>Teléfono</v>
      </c>
      <c r="H576" s="16" t="str">
        <f>IFERROR(__xludf.DUMMYFUNCTION("""COMPUTED_VALUE"""),"Gama baja")</f>
        <v>Gama baja</v>
      </c>
      <c r="I576" s="16" t="str">
        <f>IFERROR(__xludf.DUMMYFUNCTION("""COMPUTED_VALUE"""),"8GB")</f>
        <v>8GB</v>
      </c>
      <c r="J576" s="18">
        <v>2483.87</v>
      </c>
      <c r="K576" s="16">
        <v>5.0</v>
      </c>
      <c r="L576" s="18">
        <v>12419.35</v>
      </c>
      <c r="M576" s="16" t="s">
        <v>2794</v>
      </c>
      <c r="N576" s="16" t="s">
        <v>2795</v>
      </c>
      <c r="O576" s="16" t="s">
        <v>2796</v>
      </c>
    </row>
    <row r="577" ht="15.75" customHeight="1">
      <c r="A577" s="19">
        <v>45581.0</v>
      </c>
      <c r="B577" s="16" t="s">
        <v>14</v>
      </c>
      <c r="C577" s="16" t="str">
        <f t="shared" si="1"/>
        <v>Bogotá</v>
      </c>
      <c r="D577" s="16" t="str">
        <f t="shared" si="2"/>
        <v>Bogotá</v>
      </c>
      <c r="E577" s="16" t="str">
        <f t="shared" si="3"/>
        <v>Bogotá</v>
      </c>
      <c r="F577" s="16" t="s">
        <v>218</v>
      </c>
      <c r="G577" s="17" t="str">
        <f>IFERROR(__xludf.DUMMYFUNCTION("SPLIT(F577:F1576,""-"") "),"Teléfono")</f>
        <v>Teléfono</v>
      </c>
      <c r="H577" s="16" t="str">
        <f>IFERROR(__xludf.DUMMYFUNCTION("""COMPUTED_VALUE"""),"Gama media")</f>
        <v>Gama media</v>
      </c>
      <c r="I577" s="16" t="str">
        <f>IFERROR(__xludf.DUMMYFUNCTION("""COMPUTED_VALUE"""),"4GB")</f>
        <v>4GB</v>
      </c>
      <c r="J577" s="22">
        <f>(L577/K577) </f>
        <v>2341.77</v>
      </c>
      <c r="K577" s="16">
        <v>5.0</v>
      </c>
      <c r="L577" s="18">
        <v>11708.85</v>
      </c>
      <c r="M577" s="16" t="s">
        <v>332</v>
      </c>
      <c r="N577" s="16" t="s">
        <v>333</v>
      </c>
      <c r="O577" s="16" t="s">
        <v>334</v>
      </c>
    </row>
    <row r="578" ht="15.75" customHeight="1">
      <c r="A578" s="19">
        <v>45589.0</v>
      </c>
      <c r="B578" s="16" t="s">
        <v>2359</v>
      </c>
      <c r="C578" s="16" t="str">
        <f t="shared" si="1"/>
        <v>Ciudad De M√©Xico</v>
      </c>
      <c r="D578" s="16" t="str">
        <f t="shared" si="2"/>
        <v>Ciudad De M√©Xico</v>
      </c>
      <c r="E578" s="16" t="str">
        <f t="shared" si="3"/>
        <v>Ciudad De MéXico</v>
      </c>
      <c r="F578" s="16" t="s">
        <v>67</v>
      </c>
      <c r="G578" s="17" t="str">
        <f>IFERROR(__xludf.DUMMYFUNCTION("SPLIT(F578:F1577,""-"") "),"Tablet")</f>
        <v>Tablet</v>
      </c>
      <c r="H578" s="16" t="str">
        <f>IFERROR(__xludf.DUMMYFUNCTION("""COMPUTED_VALUE"""),"Estándar")</f>
        <v>Estándar</v>
      </c>
      <c r="I578" s="16" t="str">
        <f>IFERROR(__xludf.DUMMYFUNCTION("""COMPUTED_VALUE"""),"4GB")</f>
        <v>4GB</v>
      </c>
      <c r="J578" s="18">
        <v>2499.77</v>
      </c>
      <c r="K578" s="16">
        <v>3.0</v>
      </c>
      <c r="L578" s="18">
        <v>7499.31</v>
      </c>
      <c r="M578" s="16" t="s">
        <v>605</v>
      </c>
      <c r="N578" s="16" t="s">
        <v>606</v>
      </c>
      <c r="O578" s="16" t="s">
        <v>607</v>
      </c>
    </row>
    <row r="579" ht="15.75" customHeight="1">
      <c r="A579" s="23">
        <v>45636.0</v>
      </c>
      <c r="B579" s="16" t="s">
        <v>75</v>
      </c>
      <c r="C579" s="16" t="str">
        <f t="shared" si="1"/>
        <v>Cali</v>
      </c>
      <c r="D579" s="16" t="str">
        <f t="shared" si="2"/>
        <v>Cali</v>
      </c>
      <c r="E579" s="16" t="str">
        <f t="shared" si="3"/>
        <v>Cali</v>
      </c>
      <c r="F579" s="16" t="s">
        <v>315</v>
      </c>
      <c r="G579" s="17" t="str">
        <f>IFERROR(__xludf.DUMMYFUNCTION("SPLIT(F579:F1578,""-"") "),"Teléfono")</f>
        <v>Teléfono</v>
      </c>
      <c r="H579" s="16" t="str">
        <f>IFERROR(__xludf.DUMMYFUNCTION("""COMPUTED_VALUE"""),"Gama baja")</f>
        <v>Gama baja</v>
      </c>
      <c r="I579" s="16" t="str">
        <f>IFERROR(__xludf.DUMMYFUNCTION("""COMPUTED_VALUE"""),"8GB")</f>
        <v>8GB</v>
      </c>
      <c r="J579" s="18">
        <v>1284.54</v>
      </c>
      <c r="K579" s="16">
        <v>3.0</v>
      </c>
      <c r="L579" s="18">
        <v>3853.62</v>
      </c>
      <c r="M579" s="16" t="s">
        <v>1742</v>
      </c>
      <c r="N579" s="16" t="s">
        <v>1743</v>
      </c>
      <c r="O579" s="16" t="s">
        <v>1744</v>
      </c>
    </row>
    <row r="580" ht="15.75" customHeight="1">
      <c r="A580" s="23">
        <v>45576.0</v>
      </c>
      <c r="B580" s="16" t="s">
        <v>35</v>
      </c>
      <c r="C580" s="16" t="str">
        <f t="shared" si="1"/>
        <v>Medellín</v>
      </c>
      <c r="D580" s="16" t="str">
        <f t="shared" si="2"/>
        <v>Medellín</v>
      </c>
      <c r="E580" s="16" t="str">
        <f t="shared" si="3"/>
        <v>Medellín</v>
      </c>
      <c r="F580" s="16" t="s">
        <v>125</v>
      </c>
      <c r="G580" s="17" t="str">
        <f>IFERROR(__xludf.DUMMYFUNCTION("SPLIT(F580:F1579,""-"") "),"Tel√©fono")</f>
        <v>Tel√©fono</v>
      </c>
      <c r="H580" s="16" t="str">
        <f>IFERROR(__xludf.DUMMYFUNCTION("""COMPUTED_VALUE"""),"Gama media")</f>
        <v>Gama media</v>
      </c>
      <c r="I580" s="16" t="str">
        <f>IFERROR(__xludf.DUMMYFUNCTION("""COMPUTED_VALUE"""),"8GB")</f>
        <v>8GB</v>
      </c>
      <c r="J580" s="18">
        <v>218.17</v>
      </c>
      <c r="K580" s="16">
        <v>4.0</v>
      </c>
      <c r="L580" s="18">
        <v>872.68</v>
      </c>
      <c r="M580" s="16" t="s">
        <v>126</v>
      </c>
      <c r="N580" s="16" t="s">
        <v>127</v>
      </c>
      <c r="O580" s="16" t="s">
        <v>128</v>
      </c>
    </row>
    <row r="581" ht="15.75" customHeight="1">
      <c r="A581" s="23">
        <v>45483.0</v>
      </c>
      <c r="B581" s="16" t="s">
        <v>75</v>
      </c>
      <c r="C581" s="16" t="str">
        <f t="shared" si="1"/>
        <v>Cali</v>
      </c>
      <c r="D581" s="16" t="str">
        <f t="shared" si="2"/>
        <v>Cali</v>
      </c>
      <c r="E581" s="16" t="str">
        <f t="shared" si="3"/>
        <v>Cali</v>
      </c>
      <c r="F581" s="16" t="s">
        <v>76</v>
      </c>
      <c r="G581" s="17" t="str">
        <f>IFERROR(__xludf.DUMMYFUNCTION("SPLIT(F581:F1580,""-"") "),"Tablet")</f>
        <v>Tablet</v>
      </c>
      <c r="H581" s="16" t="str">
        <f>IFERROR(__xludf.DUMMYFUNCTION("""COMPUTED_VALUE"""),"Mini")</f>
        <v>Mini</v>
      </c>
      <c r="I581" s="16" t="str">
        <f>IFERROR(__xludf.DUMMYFUNCTION("""COMPUTED_VALUE"""),"32GB")</f>
        <v>32GB</v>
      </c>
      <c r="J581" s="18">
        <v>1597.75</v>
      </c>
      <c r="K581" s="16">
        <v>2.0</v>
      </c>
      <c r="L581" s="18">
        <v>3195.5</v>
      </c>
      <c r="M581" s="16" t="s">
        <v>2797</v>
      </c>
      <c r="N581" s="16" t="s">
        <v>2798</v>
      </c>
      <c r="O581" s="16" t="s">
        <v>2799</v>
      </c>
    </row>
    <row r="582" ht="15.75" customHeight="1">
      <c r="A582" s="19">
        <v>45587.0</v>
      </c>
      <c r="B582" s="16" t="s">
        <v>9</v>
      </c>
      <c r="C582" s="16" t="str">
        <f t="shared" si="1"/>
        <v>Monterrey</v>
      </c>
      <c r="D582" s="16" t="str">
        <f t="shared" si="2"/>
        <v>Monterrey</v>
      </c>
      <c r="E582" s="16" t="str">
        <f t="shared" si="3"/>
        <v>Monterrey</v>
      </c>
      <c r="F582" s="16" t="s">
        <v>292</v>
      </c>
      <c r="G582" s="17" t="str">
        <f>IFERROR(__xludf.DUMMYFUNCTION("SPLIT(F582:F1581,""-"") "),"Teléfono")</f>
        <v>Teléfono</v>
      </c>
      <c r="H582" s="16" t="str">
        <f>IFERROR(__xludf.DUMMYFUNCTION("""COMPUTED_VALUE"""),"Gama alta")</f>
        <v>Gama alta</v>
      </c>
      <c r="I582" s="16" t="str">
        <f>IFERROR(__xludf.DUMMYFUNCTION("""COMPUTED_VALUE"""),"16GB")</f>
        <v>16GB</v>
      </c>
      <c r="J582" s="18">
        <v>1736.9</v>
      </c>
      <c r="K582" s="16">
        <v>5.0</v>
      </c>
      <c r="L582" s="18">
        <v>8684.5</v>
      </c>
      <c r="M582" s="16" t="s">
        <v>532</v>
      </c>
      <c r="N582" s="16" t="s">
        <v>533</v>
      </c>
      <c r="O582" s="16" t="s">
        <v>534</v>
      </c>
    </row>
    <row r="583" ht="15.75" customHeight="1">
      <c r="A583" s="23">
        <v>45361.0</v>
      </c>
      <c r="B583" s="16" t="s">
        <v>58</v>
      </c>
      <c r="C583" s="16" t="str">
        <f t="shared" si="1"/>
        <v>Guadalajara</v>
      </c>
      <c r="D583" s="16" t="str">
        <f t="shared" si="2"/>
        <v>Guadalajara</v>
      </c>
      <c r="E583" s="16" t="str">
        <f t="shared" si="3"/>
        <v>Guadalajara</v>
      </c>
      <c r="F583" s="16" t="s">
        <v>218</v>
      </c>
      <c r="G583" s="17" t="str">
        <f>IFERROR(__xludf.DUMMYFUNCTION("SPLIT(F583:F1582,""-"") "),"Teléfono")</f>
        <v>Teléfono</v>
      </c>
      <c r="H583" s="16" t="str">
        <f>IFERROR(__xludf.DUMMYFUNCTION("""COMPUTED_VALUE"""),"Gama media")</f>
        <v>Gama media</v>
      </c>
      <c r="I583" s="16" t="str">
        <f>IFERROR(__xludf.DUMMYFUNCTION("""COMPUTED_VALUE"""),"4GB")</f>
        <v>4GB</v>
      </c>
      <c r="J583" s="18">
        <v>1542.12</v>
      </c>
      <c r="K583" s="16">
        <v>4.0</v>
      </c>
      <c r="L583" s="18">
        <v>6168.48</v>
      </c>
      <c r="M583" s="16" t="s">
        <v>2800</v>
      </c>
      <c r="N583" s="16" t="s">
        <v>2801</v>
      </c>
      <c r="O583" s="16" t="s">
        <v>2802</v>
      </c>
    </row>
    <row r="584" ht="15.75" customHeight="1">
      <c r="A584" s="19">
        <v>45649.0</v>
      </c>
      <c r="B584" s="16" t="s">
        <v>9</v>
      </c>
      <c r="C584" s="16" t="str">
        <f t="shared" si="1"/>
        <v>Monterrey</v>
      </c>
      <c r="D584" s="16" t="str">
        <f t="shared" si="2"/>
        <v>Monterrey</v>
      </c>
      <c r="E584" s="16" t="str">
        <f t="shared" si="3"/>
        <v>Monterrey</v>
      </c>
      <c r="F584" s="16" t="s">
        <v>272</v>
      </c>
      <c r="G584" s="17" t="str">
        <f>IFERROR(__xludf.DUMMYFUNCTION("SPLIT(F584:F1583,""-"") "),"Teléfono")</f>
        <v>Teléfono</v>
      </c>
      <c r="H584" s="16" t="str">
        <f>IFERROR(__xludf.DUMMYFUNCTION("""COMPUTED_VALUE"""),"Gama baja")</f>
        <v>Gama baja</v>
      </c>
      <c r="I584" s="16" t="str">
        <f>IFERROR(__xludf.DUMMYFUNCTION("""COMPUTED_VALUE"""),"32GB")</f>
        <v>32GB</v>
      </c>
      <c r="J584" s="18">
        <v>1991.97</v>
      </c>
      <c r="K584" s="16">
        <v>3.0</v>
      </c>
      <c r="L584" s="18">
        <v>5975.91</v>
      </c>
      <c r="M584" s="16" t="s">
        <v>2111</v>
      </c>
      <c r="N584" s="16" t="s">
        <v>2112</v>
      </c>
      <c r="O584" s="16" t="s">
        <v>2113</v>
      </c>
    </row>
    <row r="585" ht="15.75" customHeight="1">
      <c r="A585" s="23">
        <v>45424.0</v>
      </c>
      <c r="B585" s="16" t="s">
        <v>58</v>
      </c>
      <c r="C585" s="16" t="str">
        <f t="shared" si="1"/>
        <v>Guadalajara</v>
      </c>
      <c r="D585" s="16" t="str">
        <f t="shared" si="2"/>
        <v>Guadalajara</v>
      </c>
      <c r="E585" s="16" t="str">
        <f t="shared" si="3"/>
        <v>Guadalajara</v>
      </c>
      <c r="F585" s="16" t="s">
        <v>315</v>
      </c>
      <c r="G585" s="17" t="str">
        <f>IFERROR(__xludf.DUMMYFUNCTION("SPLIT(F585:F1584,""-"") "),"Teléfono")</f>
        <v>Teléfono</v>
      </c>
      <c r="H585" s="16" t="str">
        <f>IFERROR(__xludf.DUMMYFUNCTION("""COMPUTED_VALUE"""),"Gama baja")</f>
        <v>Gama baja</v>
      </c>
      <c r="I585" s="16" t="str">
        <f>IFERROR(__xludf.DUMMYFUNCTION("""COMPUTED_VALUE"""),"8GB")</f>
        <v>8GB</v>
      </c>
      <c r="J585" s="18">
        <v>769.77</v>
      </c>
      <c r="K585" s="16">
        <v>4.0</v>
      </c>
      <c r="L585" s="18">
        <v>3079.08</v>
      </c>
      <c r="M585" s="16" t="s">
        <v>2803</v>
      </c>
      <c r="N585" s="16" t="s">
        <v>2804</v>
      </c>
      <c r="O585" s="16" t="s">
        <v>2805</v>
      </c>
    </row>
    <row r="586" ht="15.75" customHeight="1">
      <c r="A586" s="19">
        <v>45651.0</v>
      </c>
      <c r="B586" s="16" t="s">
        <v>9</v>
      </c>
      <c r="C586" s="16" t="str">
        <f t="shared" si="1"/>
        <v>Monterrey</v>
      </c>
      <c r="D586" s="16" t="str">
        <f t="shared" si="2"/>
        <v>Monterrey</v>
      </c>
      <c r="E586" s="16" t="str">
        <f t="shared" si="3"/>
        <v>Monterrey</v>
      </c>
      <c r="F586" s="16" t="s">
        <v>399</v>
      </c>
      <c r="G586" s="17" t="str">
        <f>IFERROR(__xludf.DUMMYFUNCTION("SPLIT(F586:F1585,""-"") "),"Laptop")</f>
        <v>Laptop</v>
      </c>
      <c r="H586" s="16" t="str">
        <f>IFERROR(__xludf.DUMMYFUNCTION("""COMPUTED_VALUE"""),"Gaming")</f>
        <v>Gaming</v>
      </c>
      <c r="I586" s="16" t="str">
        <f>IFERROR(__xludf.DUMMYFUNCTION("""COMPUTED_VALUE"""),"4GB")</f>
        <v>4GB</v>
      </c>
      <c r="J586" s="18">
        <v>173.94</v>
      </c>
      <c r="K586" s="16">
        <v>5.0</v>
      </c>
      <c r="L586" s="18">
        <v>869.7</v>
      </c>
      <c r="M586" s="16" t="s">
        <v>2171</v>
      </c>
      <c r="N586" s="16" t="s">
        <v>2172</v>
      </c>
      <c r="O586" s="16" t="s">
        <v>2173</v>
      </c>
    </row>
    <row r="587" ht="15.75" customHeight="1">
      <c r="A587" s="23">
        <v>45546.0</v>
      </c>
      <c r="B587" s="16" t="s">
        <v>58</v>
      </c>
      <c r="C587" s="16" t="str">
        <f t="shared" si="1"/>
        <v>Guadalajara</v>
      </c>
      <c r="D587" s="16" t="str">
        <f t="shared" si="2"/>
        <v>Guadalajara</v>
      </c>
      <c r="E587" s="16" t="str">
        <f t="shared" si="3"/>
        <v>Guadalajara</v>
      </c>
      <c r="F587" s="16" t="s">
        <v>76</v>
      </c>
      <c r="G587" s="17" t="str">
        <f>IFERROR(__xludf.DUMMYFUNCTION("SPLIT(F587:F1586,""-"") "),"Tablet")</f>
        <v>Tablet</v>
      </c>
      <c r="H587" s="16" t="str">
        <f>IFERROR(__xludf.DUMMYFUNCTION("""COMPUTED_VALUE"""),"Mini")</f>
        <v>Mini</v>
      </c>
      <c r="I587" s="16" t="str">
        <f>IFERROR(__xludf.DUMMYFUNCTION("""COMPUTED_VALUE"""),"32GB")</f>
        <v>32GB</v>
      </c>
      <c r="J587" s="18">
        <v>1118.35</v>
      </c>
      <c r="K587" s="16">
        <v>4.0</v>
      </c>
      <c r="L587" s="18">
        <v>4473.4</v>
      </c>
      <c r="M587" s="16" t="s">
        <v>2806</v>
      </c>
      <c r="N587" s="16" t="s">
        <v>2807</v>
      </c>
      <c r="O587" s="16" t="s">
        <v>2808</v>
      </c>
    </row>
    <row r="588" ht="15.75" customHeight="1">
      <c r="A588" s="19">
        <v>45578.0</v>
      </c>
      <c r="B588" s="16" t="s">
        <v>9</v>
      </c>
      <c r="C588" s="16" t="str">
        <f t="shared" si="1"/>
        <v>Monterrey</v>
      </c>
      <c r="D588" s="16" t="str">
        <f t="shared" si="2"/>
        <v>Monterrey</v>
      </c>
      <c r="E588" s="16" t="str">
        <f t="shared" si="3"/>
        <v>Monterrey</v>
      </c>
      <c r="F588" s="16" t="s">
        <v>190</v>
      </c>
      <c r="G588" s="17" t="str">
        <f>IFERROR(__xludf.DUMMYFUNCTION("SPLIT(F588:F1587,""-"") "),"Laptop")</f>
        <v>Laptop</v>
      </c>
      <c r="H588" s="16" t="str">
        <f>IFERROR(__xludf.DUMMYFUNCTION("""COMPUTED_VALUE"""),"Ultraliviana")</f>
        <v>Ultraliviana</v>
      </c>
      <c r="I588" s="16" t="str">
        <f>IFERROR(__xludf.DUMMYFUNCTION("""COMPUTED_VALUE"""),"16GB")</f>
        <v>16GB</v>
      </c>
      <c r="J588" s="22">
        <f>(L588/K588) </f>
        <v>362.17</v>
      </c>
      <c r="K588" s="16">
        <v>3.0</v>
      </c>
      <c r="L588" s="18">
        <v>1086.51</v>
      </c>
      <c r="M588" s="16" t="s">
        <v>191</v>
      </c>
      <c r="N588" s="16" t="s">
        <v>192</v>
      </c>
      <c r="O588" s="16" t="s">
        <v>193</v>
      </c>
    </row>
    <row r="589" ht="15.75" customHeight="1">
      <c r="A589" s="23">
        <v>45547.0</v>
      </c>
      <c r="B589" s="16" t="s">
        <v>58</v>
      </c>
      <c r="C589" s="16" t="str">
        <f t="shared" si="1"/>
        <v>Guadalajara</v>
      </c>
      <c r="D589" s="16" t="str">
        <f t="shared" si="2"/>
        <v>Guadalajara</v>
      </c>
      <c r="E589" s="16" t="str">
        <f t="shared" si="3"/>
        <v>Guadalajara</v>
      </c>
      <c r="F589" s="16" t="s">
        <v>272</v>
      </c>
      <c r="G589" s="17" t="str">
        <f>IFERROR(__xludf.DUMMYFUNCTION("SPLIT(F589:F1588,""-"") "),"Teléfono")</f>
        <v>Teléfono</v>
      </c>
      <c r="H589" s="16" t="str">
        <f>IFERROR(__xludf.DUMMYFUNCTION("""COMPUTED_VALUE"""),"Gama baja")</f>
        <v>Gama baja</v>
      </c>
      <c r="I589" s="16" t="str">
        <f>IFERROR(__xludf.DUMMYFUNCTION("""COMPUTED_VALUE"""),"32GB")</f>
        <v>32GB</v>
      </c>
      <c r="J589" s="18">
        <v>232.18</v>
      </c>
      <c r="K589" s="16">
        <v>3.0</v>
      </c>
      <c r="L589" s="18">
        <v>696.54</v>
      </c>
      <c r="M589" s="16" t="s">
        <v>2809</v>
      </c>
      <c r="N589" s="16" t="s">
        <v>2810</v>
      </c>
      <c r="O589" s="16" t="s">
        <v>2811</v>
      </c>
    </row>
    <row r="590" ht="15.75" customHeight="1">
      <c r="A590" s="19">
        <v>45614.0</v>
      </c>
      <c r="B590" s="16" t="s">
        <v>75</v>
      </c>
      <c r="C590" s="16" t="str">
        <f t="shared" si="1"/>
        <v>Cali</v>
      </c>
      <c r="D590" s="16" t="str">
        <f t="shared" si="2"/>
        <v>Cali</v>
      </c>
      <c r="E590" s="16" t="str">
        <f t="shared" si="3"/>
        <v>Cali</v>
      </c>
      <c r="F590" s="16" t="s">
        <v>255</v>
      </c>
      <c r="G590" s="17" t="str">
        <f>IFERROR(__xludf.DUMMYFUNCTION("SPLIT(F590:F1589,""-"") "),"Auriculares")</f>
        <v>Auriculares</v>
      </c>
      <c r="H590" s="16" t="str">
        <f>IFERROR(__xludf.DUMMYFUNCTION("""COMPUTED_VALUE"""),"Bluetooth")</f>
        <v>Bluetooth</v>
      </c>
      <c r="I590" s="16" t="str">
        <f>IFERROR(__xludf.DUMMYFUNCTION("""COMPUTED_VALUE"""),"8GB")</f>
        <v>8GB</v>
      </c>
      <c r="J590" s="18">
        <v>1217.56</v>
      </c>
      <c r="K590" s="16">
        <v>3.0</v>
      </c>
      <c r="L590" s="18">
        <v>3652.68</v>
      </c>
      <c r="M590" s="16" t="s">
        <v>1248</v>
      </c>
      <c r="N590" s="16" t="s">
        <v>1249</v>
      </c>
      <c r="O590" s="16" t="s">
        <v>1250</v>
      </c>
    </row>
    <row r="591" ht="15.75" customHeight="1">
      <c r="A591" s="19">
        <v>45641.0</v>
      </c>
      <c r="B591" s="16" t="s">
        <v>9</v>
      </c>
      <c r="C591" s="16" t="str">
        <f t="shared" si="1"/>
        <v>Monterrey</v>
      </c>
      <c r="D591" s="16" t="str">
        <f t="shared" si="2"/>
        <v>Monterrey</v>
      </c>
      <c r="E591" s="16" t="str">
        <f t="shared" si="3"/>
        <v>Monterrey</v>
      </c>
      <c r="F591" s="16" t="s">
        <v>225</v>
      </c>
      <c r="G591" s="17" t="str">
        <f>IFERROR(__xludf.DUMMYFUNCTION("SPLIT(F591:F1590,""-"") "),"Laptop")</f>
        <v>Laptop</v>
      </c>
      <c r="H591" s="16" t="str">
        <f>IFERROR(__xludf.DUMMYFUNCTION("""COMPUTED_VALUE"""),"Gaming")</f>
        <v>Gaming</v>
      </c>
      <c r="I591" s="16" t="str">
        <f>IFERROR(__xludf.DUMMYFUNCTION("""COMPUTED_VALUE"""),"16GB")</f>
        <v>16GB</v>
      </c>
      <c r="J591" s="18">
        <v>303.05</v>
      </c>
      <c r="K591" s="16">
        <v>1.0</v>
      </c>
      <c r="L591" s="18">
        <v>303.05</v>
      </c>
      <c r="M591" s="16" t="s">
        <v>1864</v>
      </c>
      <c r="N591" s="16" t="s">
        <v>1865</v>
      </c>
      <c r="O591" s="16" t="s">
        <v>1866</v>
      </c>
    </row>
    <row r="592" ht="15.75" customHeight="1">
      <c r="A592" s="19">
        <v>45619.0</v>
      </c>
      <c r="B592" s="16" t="s">
        <v>75</v>
      </c>
      <c r="C592" s="16" t="str">
        <f t="shared" si="1"/>
        <v>Cali</v>
      </c>
      <c r="D592" s="16" t="str">
        <f t="shared" si="2"/>
        <v>Cali</v>
      </c>
      <c r="E592" s="16" t="str">
        <f t="shared" si="3"/>
        <v>Cali</v>
      </c>
      <c r="F592" s="16" t="s">
        <v>85</v>
      </c>
      <c r="G592" s="17" t="str">
        <f>IFERROR(__xludf.DUMMYFUNCTION("SPLIT(F592:F1591,""-"") "),"Teléfono")</f>
        <v>Teléfono</v>
      </c>
      <c r="H592" s="16" t="str">
        <f>IFERROR(__xludf.DUMMYFUNCTION("""COMPUTED_VALUE"""),"Gama media")</f>
        <v>Gama media</v>
      </c>
      <c r="I592" s="16" t="str">
        <f>IFERROR(__xludf.DUMMYFUNCTION("""COMPUTED_VALUE"""),"32GB")</f>
        <v>32GB</v>
      </c>
      <c r="J592" s="18">
        <v>807.71</v>
      </c>
      <c r="K592" s="16">
        <v>3.0</v>
      </c>
      <c r="L592" s="18">
        <v>2423.13</v>
      </c>
      <c r="M592" s="16" t="s">
        <v>1423</v>
      </c>
      <c r="N592" s="16" t="s">
        <v>1424</v>
      </c>
      <c r="O592" s="16" t="s">
        <v>1425</v>
      </c>
    </row>
    <row r="593" ht="15.75" customHeight="1">
      <c r="A593" s="23">
        <v>45546.0</v>
      </c>
      <c r="B593" s="16" t="s">
        <v>35</v>
      </c>
      <c r="C593" s="16" t="str">
        <f t="shared" si="1"/>
        <v>Medellín</v>
      </c>
      <c r="D593" s="16" t="str">
        <f t="shared" si="2"/>
        <v>Medellín</v>
      </c>
      <c r="E593" s="16" t="str">
        <f t="shared" si="3"/>
        <v>Medellín</v>
      </c>
      <c r="F593" s="16" t="s">
        <v>369</v>
      </c>
      <c r="G593" s="17" t="str">
        <f>IFERROR(__xludf.DUMMYFUNCTION("SPLIT(F593:F1592,""-"") "),"Auriculares")</f>
        <v>Auriculares</v>
      </c>
      <c r="H593" s="16" t="str">
        <f>IFERROR(__xludf.DUMMYFUNCTION("""COMPUTED_VALUE"""),"Con cable")</f>
        <v>Con cable</v>
      </c>
      <c r="I593" s="16" t="str">
        <f>IFERROR(__xludf.DUMMYFUNCTION("""COMPUTED_VALUE"""),"4GB")</f>
        <v>4GB</v>
      </c>
      <c r="J593" s="18">
        <v>794.49</v>
      </c>
      <c r="K593" s="16">
        <v>2.0</v>
      </c>
      <c r="L593" s="18">
        <v>1588.98</v>
      </c>
      <c r="M593" s="16" t="s">
        <v>2812</v>
      </c>
      <c r="N593" s="16" t="s">
        <v>2813</v>
      </c>
      <c r="O593" s="16" t="s">
        <v>2814</v>
      </c>
    </row>
    <row r="594" ht="15.75" customHeight="1">
      <c r="A594" s="19">
        <v>45594.0</v>
      </c>
      <c r="B594" s="16" t="s">
        <v>2359</v>
      </c>
      <c r="C594" s="16" t="str">
        <f t="shared" si="1"/>
        <v>Ciudad De M√©Xico</v>
      </c>
      <c r="D594" s="16" t="str">
        <f t="shared" si="2"/>
        <v>Ciudad De M√©Xico</v>
      </c>
      <c r="E594" s="16" t="str">
        <f t="shared" si="3"/>
        <v>Ciudad De MéXico</v>
      </c>
      <c r="F594" s="16" t="s">
        <v>282</v>
      </c>
      <c r="G594" s="17" t="str">
        <f>IFERROR(__xludf.DUMMYFUNCTION("SPLIT(F594:F1593,""-"") "),"Tablet")</f>
        <v>Tablet</v>
      </c>
      <c r="H594" s="16" t="str">
        <f>IFERROR(__xludf.DUMMYFUNCTION("""COMPUTED_VALUE"""),"Pro")</f>
        <v>Pro</v>
      </c>
      <c r="I594" s="16" t="str">
        <f>IFERROR(__xludf.DUMMYFUNCTION("""COMPUTED_VALUE"""),"16GB")</f>
        <v>16GB</v>
      </c>
      <c r="J594" s="18">
        <v>2388.79</v>
      </c>
      <c r="K594" s="16">
        <v>2.0</v>
      </c>
      <c r="L594" s="18">
        <v>4777.58</v>
      </c>
      <c r="M594" s="16" t="s">
        <v>754</v>
      </c>
      <c r="N594" s="16" t="s">
        <v>755</v>
      </c>
      <c r="O594" s="16" t="s">
        <v>756</v>
      </c>
    </row>
    <row r="595" ht="15.75" customHeight="1">
      <c r="A595" s="19">
        <v>45619.0</v>
      </c>
      <c r="B595" s="16" t="s">
        <v>14</v>
      </c>
      <c r="C595" s="16" t="str">
        <f t="shared" si="1"/>
        <v>Bogotá</v>
      </c>
      <c r="D595" s="16" t="str">
        <f t="shared" si="2"/>
        <v>Bogotá</v>
      </c>
      <c r="E595" s="16" t="str">
        <f t="shared" si="3"/>
        <v>Bogotá</v>
      </c>
      <c r="F595" s="16" t="s">
        <v>153</v>
      </c>
      <c r="G595" s="17" t="str">
        <f>IFERROR(__xludf.DUMMYFUNCTION("SPLIT(F595:F1594,""-"") "),"Laptop")</f>
        <v>Laptop</v>
      </c>
      <c r="H595" s="16" t="str">
        <f>IFERROR(__xludf.DUMMYFUNCTION("""COMPUTED_VALUE"""),"Gaming")</f>
        <v>Gaming</v>
      </c>
      <c r="I595" s="16" t="str">
        <f>IFERROR(__xludf.DUMMYFUNCTION("""COMPUTED_VALUE"""),"8GB")</f>
        <v>8GB</v>
      </c>
      <c r="J595" s="18">
        <v>1768.49</v>
      </c>
      <c r="K595" s="16">
        <v>2.0</v>
      </c>
      <c r="L595" s="18">
        <v>3536.98</v>
      </c>
      <c r="M595" s="16" t="s">
        <v>1426</v>
      </c>
      <c r="N595" s="16" t="s">
        <v>1427</v>
      </c>
      <c r="O595" s="16" t="s">
        <v>1428</v>
      </c>
    </row>
    <row r="596" ht="15.75" customHeight="1">
      <c r="A596" s="19">
        <v>45609.0</v>
      </c>
      <c r="B596" s="16" t="s">
        <v>75</v>
      </c>
      <c r="C596" s="16" t="str">
        <f t="shared" si="1"/>
        <v>Cali</v>
      </c>
      <c r="D596" s="16" t="str">
        <f t="shared" si="2"/>
        <v>Cali</v>
      </c>
      <c r="E596" s="16" t="str">
        <f t="shared" si="3"/>
        <v>Cali</v>
      </c>
      <c r="F596" s="16" t="s">
        <v>132</v>
      </c>
      <c r="G596" s="17" t="str">
        <f>IFERROR(__xludf.DUMMYFUNCTION("SPLIT(F596:F1595,""-"") "),"Tablet")</f>
        <v>Tablet</v>
      </c>
      <c r="H596" s="16" t="str">
        <f>IFERROR(__xludf.DUMMYFUNCTION("""COMPUTED_VALUE"""),"Pro")</f>
        <v>Pro</v>
      </c>
      <c r="I596" s="16" t="str">
        <f>IFERROR(__xludf.DUMMYFUNCTION("""COMPUTED_VALUE"""),"8GB")</f>
        <v>8GB</v>
      </c>
      <c r="J596" s="18">
        <v>1873.69</v>
      </c>
      <c r="K596" s="16">
        <v>2.0</v>
      </c>
      <c r="L596" s="18">
        <v>3747.38</v>
      </c>
      <c r="M596" s="16" t="s">
        <v>1057</v>
      </c>
      <c r="N596" s="16" t="s">
        <v>1058</v>
      </c>
      <c r="O596" s="16" t="s">
        <v>1059</v>
      </c>
    </row>
    <row r="597" ht="15.75" customHeight="1">
      <c r="A597" s="19">
        <v>45618.0</v>
      </c>
      <c r="B597" s="16" t="s">
        <v>2359</v>
      </c>
      <c r="C597" s="16" t="str">
        <f t="shared" si="1"/>
        <v>Ciudad De M√©Xico</v>
      </c>
      <c r="D597" s="16" t="str">
        <f t="shared" si="2"/>
        <v>Ciudad De M√©Xico</v>
      </c>
      <c r="E597" s="16" t="str">
        <f t="shared" si="3"/>
        <v>Ciudad De MéXico</v>
      </c>
      <c r="F597" s="16" t="s">
        <v>373</v>
      </c>
      <c r="G597" s="17" t="str">
        <f>IFERROR(__xludf.DUMMYFUNCTION("SPLIT(F597:F1596,""-"") "),"Teléfono")</f>
        <v>Teléfono</v>
      </c>
      <c r="H597" s="16" t="str">
        <f>IFERROR(__xludf.DUMMYFUNCTION("""COMPUTED_VALUE"""),"Gama media")</f>
        <v>Gama media</v>
      </c>
      <c r="I597" s="16" t="str">
        <f>IFERROR(__xludf.DUMMYFUNCTION("""COMPUTED_VALUE"""),"16GB")</f>
        <v>16GB</v>
      </c>
      <c r="J597" s="18">
        <v>752.56</v>
      </c>
      <c r="K597" s="16">
        <v>2.0</v>
      </c>
      <c r="L597" s="18">
        <v>1505.12</v>
      </c>
      <c r="M597" s="16" t="s">
        <v>1389</v>
      </c>
      <c r="N597" s="16" t="s">
        <v>1390</v>
      </c>
      <c r="O597" s="16" t="s">
        <v>1391</v>
      </c>
    </row>
    <row r="598" ht="15.75" customHeight="1">
      <c r="A598" s="19">
        <v>45656.0</v>
      </c>
      <c r="B598" s="16" t="s">
        <v>35</v>
      </c>
      <c r="C598" s="16" t="str">
        <f t="shared" si="1"/>
        <v>Medellín</v>
      </c>
      <c r="D598" s="16" t="str">
        <f t="shared" si="2"/>
        <v>Medellín</v>
      </c>
      <c r="E598" s="16" t="str">
        <f t="shared" si="3"/>
        <v>Medellín</v>
      </c>
      <c r="F598" s="16" t="s">
        <v>36</v>
      </c>
      <c r="G598" s="17" t="str">
        <f>IFERROR(__xludf.DUMMYFUNCTION("SPLIT(F598:F1597,""-"") "),"Tablet")</f>
        <v>Tablet</v>
      </c>
      <c r="H598" s="16" t="str">
        <f>IFERROR(__xludf.DUMMYFUNCTION("""COMPUTED_VALUE"""),"Pro")</f>
        <v>Pro</v>
      </c>
      <c r="I598" s="16" t="str">
        <f>IFERROR(__xludf.DUMMYFUNCTION("""COMPUTED_VALUE"""),"4GB")</f>
        <v>4GB</v>
      </c>
      <c r="J598" s="18">
        <v>619.4</v>
      </c>
      <c r="K598" s="16">
        <v>1.0</v>
      </c>
      <c r="L598" s="18">
        <v>619.4</v>
      </c>
      <c r="M598" s="16" t="s">
        <v>2321</v>
      </c>
      <c r="N598" s="16" t="s">
        <v>2322</v>
      </c>
      <c r="O598" s="16" t="s">
        <v>2323</v>
      </c>
    </row>
    <row r="599" ht="15.75" customHeight="1">
      <c r="A599" s="23">
        <v>45638.0</v>
      </c>
      <c r="B599" s="16" t="s">
        <v>2359</v>
      </c>
      <c r="C599" s="16" t="str">
        <f t="shared" si="1"/>
        <v>Ciudad De M√©Xico</v>
      </c>
      <c r="D599" s="16" t="str">
        <f t="shared" si="2"/>
        <v>Ciudad De M√©Xico</v>
      </c>
      <c r="E599" s="16" t="str">
        <f t="shared" si="3"/>
        <v>Ciudad De MéXico</v>
      </c>
      <c r="F599" s="16" t="s">
        <v>315</v>
      </c>
      <c r="G599" s="17" t="str">
        <f>IFERROR(__xludf.DUMMYFUNCTION("SPLIT(F599:F1598,""-"") "),"Teléfono")</f>
        <v>Teléfono</v>
      </c>
      <c r="H599" s="16" t="str">
        <f>IFERROR(__xludf.DUMMYFUNCTION("""COMPUTED_VALUE"""),"Gama baja")</f>
        <v>Gama baja</v>
      </c>
      <c r="I599" s="16" t="str">
        <f>IFERROR(__xludf.DUMMYFUNCTION("""COMPUTED_VALUE"""),"8GB")</f>
        <v>8GB</v>
      </c>
      <c r="J599" s="18">
        <v>834.63</v>
      </c>
      <c r="K599" s="16">
        <v>4.0</v>
      </c>
      <c r="L599" s="18">
        <v>3338.52</v>
      </c>
      <c r="M599" s="16" t="s">
        <v>1796</v>
      </c>
      <c r="N599" s="16" t="s">
        <v>1797</v>
      </c>
      <c r="O599" s="16" t="s">
        <v>1798</v>
      </c>
    </row>
    <row r="600" ht="15.75" customHeight="1">
      <c r="A600" s="19">
        <v>45654.0</v>
      </c>
      <c r="B600" s="16" t="s">
        <v>35</v>
      </c>
      <c r="C600" s="16" t="str">
        <f t="shared" si="1"/>
        <v>Medellín</v>
      </c>
      <c r="D600" s="16" t="str">
        <f t="shared" si="2"/>
        <v>Medellín</v>
      </c>
      <c r="E600" s="16" t="str">
        <f t="shared" si="3"/>
        <v>Medellín</v>
      </c>
      <c r="F600" s="16" t="s">
        <v>171</v>
      </c>
      <c r="G600" s="17" t="str">
        <f>IFERROR(__xludf.DUMMYFUNCTION("SPLIT(F600:F1599,""-"") "),"Teléfono")</f>
        <v>Teléfono</v>
      </c>
      <c r="H600" s="16" t="str">
        <f>IFERROR(__xludf.DUMMYFUNCTION("""COMPUTED_VALUE"""),"Gama baja")</f>
        <v>Gama baja</v>
      </c>
      <c r="I600" s="16" t="str">
        <f>IFERROR(__xludf.DUMMYFUNCTION("""COMPUTED_VALUE"""),"4GB")</f>
        <v>4GB</v>
      </c>
      <c r="J600" s="18">
        <v>211.08</v>
      </c>
      <c r="K600" s="16">
        <v>4.0</v>
      </c>
      <c r="L600" s="18">
        <v>844.32</v>
      </c>
      <c r="M600" s="16" t="s">
        <v>2249</v>
      </c>
      <c r="N600" s="16" t="s">
        <v>2250</v>
      </c>
      <c r="O600" s="16" t="s">
        <v>2251</v>
      </c>
    </row>
    <row r="601" ht="15.75" customHeight="1">
      <c r="A601" s="19">
        <v>45620.0</v>
      </c>
      <c r="B601" s="16" t="s">
        <v>75</v>
      </c>
      <c r="C601" s="16" t="str">
        <f t="shared" si="1"/>
        <v>Cali</v>
      </c>
      <c r="D601" s="16" t="str">
        <f t="shared" si="2"/>
        <v>Cali</v>
      </c>
      <c r="E601" s="16" t="str">
        <f t="shared" si="3"/>
        <v>Cali</v>
      </c>
      <c r="F601" s="16" t="s">
        <v>218</v>
      </c>
      <c r="G601" s="17" t="str">
        <f>IFERROR(__xludf.DUMMYFUNCTION("SPLIT(F601:F1600,""-"") "),"Teléfono")</f>
        <v>Teléfono</v>
      </c>
      <c r="H601" s="16" t="str">
        <f>IFERROR(__xludf.DUMMYFUNCTION("""COMPUTED_VALUE"""),"Gama media")</f>
        <v>Gama media</v>
      </c>
      <c r="I601" s="16" t="str">
        <f>IFERROR(__xludf.DUMMYFUNCTION("""COMPUTED_VALUE"""),"4GB")</f>
        <v>4GB</v>
      </c>
      <c r="J601" s="18">
        <v>103.69</v>
      </c>
      <c r="K601" s="16">
        <v>5.0</v>
      </c>
      <c r="L601" s="18">
        <v>518.45</v>
      </c>
      <c r="M601" s="16" t="s">
        <v>1450</v>
      </c>
      <c r="N601" s="16" t="s">
        <v>1451</v>
      </c>
      <c r="O601" s="16" t="s">
        <v>1452</v>
      </c>
    </row>
    <row r="602" ht="15.75" customHeight="1">
      <c r="A602" s="23">
        <v>45454.0</v>
      </c>
      <c r="B602" s="16" t="s">
        <v>1407</v>
      </c>
      <c r="C602" s="16" t="str">
        <f t="shared" si="1"/>
        <v>Cali</v>
      </c>
      <c r="D602" s="16" t="str">
        <f t="shared" si="2"/>
        <v>Cali</v>
      </c>
      <c r="E602" s="16" t="str">
        <f t="shared" si="3"/>
        <v>Cali</v>
      </c>
      <c r="F602" s="16" t="s">
        <v>225</v>
      </c>
      <c r="G602" s="17" t="str">
        <f>IFERROR(__xludf.DUMMYFUNCTION("SPLIT(F602:F1601,""-"") "),"Laptop")</f>
        <v>Laptop</v>
      </c>
      <c r="H602" s="16" t="str">
        <f>IFERROR(__xludf.DUMMYFUNCTION("""COMPUTED_VALUE"""),"Gaming")</f>
        <v>Gaming</v>
      </c>
      <c r="I602" s="16" t="str">
        <f>IFERROR(__xludf.DUMMYFUNCTION("""COMPUTED_VALUE"""),"16GB")</f>
        <v>16GB</v>
      </c>
      <c r="J602" s="18">
        <v>1137.77</v>
      </c>
      <c r="K602" s="16">
        <v>5.0</v>
      </c>
      <c r="L602" s="18">
        <v>5688.85</v>
      </c>
      <c r="M602" s="16" t="s">
        <v>2815</v>
      </c>
      <c r="N602" s="16" t="s">
        <v>2816</v>
      </c>
      <c r="O602" s="16" t="s">
        <v>2817</v>
      </c>
    </row>
    <row r="603" ht="15.75" customHeight="1">
      <c r="A603" s="19">
        <v>45619.0</v>
      </c>
      <c r="B603" s="16" t="s">
        <v>35</v>
      </c>
      <c r="C603" s="16" t="str">
        <f t="shared" si="1"/>
        <v>Medellín</v>
      </c>
      <c r="D603" s="16" t="str">
        <f t="shared" si="2"/>
        <v>Medellín</v>
      </c>
      <c r="E603" s="16" t="str">
        <f t="shared" si="3"/>
        <v>Medellín</v>
      </c>
      <c r="F603" s="16" t="s">
        <v>139</v>
      </c>
      <c r="G603" s="17" t="str">
        <f>IFERROR(__xludf.DUMMYFUNCTION("SPLIT(F603:F1602,""-"") "),"Auriculares")</f>
        <v>Auriculares</v>
      </c>
      <c r="H603" s="16" t="str">
        <f>IFERROR(__xludf.DUMMYFUNCTION("""COMPUTED_VALUE"""),"Con cable")</f>
        <v>Con cable</v>
      </c>
      <c r="I603" s="16" t="str">
        <f>IFERROR(__xludf.DUMMYFUNCTION("""COMPUTED_VALUE"""),"16GB")</f>
        <v>16GB</v>
      </c>
      <c r="J603" s="18">
        <v>2009.76</v>
      </c>
      <c r="K603" s="16">
        <v>1.0</v>
      </c>
      <c r="L603" s="18">
        <v>2009.76</v>
      </c>
      <c r="M603" s="16" t="s">
        <v>1429</v>
      </c>
      <c r="N603" s="16" t="s">
        <v>1430</v>
      </c>
      <c r="O603" s="16" t="s">
        <v>1431</v>
      </c>
    </row>
    <row r="604" ht="15.75" customHeight="1">
      <c r="A604" s="19">
        <v>45592.0</v>
      </c>
      <c r="B604" s="16" t="s">
        <v>35</v>
      </c>
      <c r="C604" s="16" t="str">
        <f t="shared" si="1"/>
        <v>Medellín</v>
      </c>
      <c r="D604" s="16" t="str">
        <f t="shared" si="2"/>
        <v>Medellín</v>
      </c>
      <c r="E604" s="16" t="str">
        <f t="shared" si="3"/>
        <v>Medellín</v>
      </c>
      <c r="F604" s="16" t="s">
        <v>63</v>
      </c>
      <c r="G604" s="17" t="str">
        <f>IFERROR(__xludf.DUMMYFUNCTION("SPLIT(F604:F1603,""-"") "),"Laptop")</f>
        <v>Laptop</v>
      </c>
      <c r="H604" s="16" t="str">
        <f>IFERROR(__xludf.DUMMYFUNCTION("""COMPUTED_VALUE"""),"Ultraliviana")</f>
        <v>Ultraliviana</v>
      </c>
      <c r="I604" s="16" t="str">
        <f>IFERROR(__xludf.DUMMYFUNCTION("""COMPUTED_VALUE"""),"4GB")</f>
        <v>4GB</v>
      </c>
      <c r="J604" s="18">
        <v>755.38</v>
      </c>
      <c r="K604" s="16">
        <v>4.0</v>
      </c>
      <c r="L604" s="18">
        <v>3021.52</v>
      </c>
      <c r="M604" s="16" t="s">
        <v>685</v>
      </c>
      <c r="N604" s="16" t="s">
        <v>686</v>
      </c>
      <c r="O604" s="16" t="s">
        <v>687</v>
      </c>
    </row>
    <row r="605" ht="15.75" customHeight="1">
      <c r="A605" s="19">
        <v>45596.0</v>
      </c>
      <c r="B605" s="16" t="s">
        <v>14</v>
      </c>
      <c r="C605" s="16" t="str">
        <f t="shared" si="1"/>
        <v>Bogotá</v>
      </c>
      <c r="D605" s="16" t="str">
        <f t="shared" si="2"/>
        <v>Bogotá</v>
      </c>
      <c r="E605" s="16" t="str">
        <f t="shared" si="3"/>
        <v>Bogotá</v>
      </c>
      <c r="F605" s="16" t="s">
        <v>67</v>
      </c>
      <c r="G605" s="17" t="str">
        <f>IFERROR(__xludf.DUMMYFUNCTION("SPLIT(F605:F1604,""-"") "),"Tablet")</f>
        <v>Tablet</v>
      </c>
      <c r="H605" s="16" t="str">
        <f>IFERROR(__xludf.DUMMYFUNCTION("""COMPUTED_VALUE"""),"Estándar")</f>
        <v>Estándar</v>
      </c>
      <c r="I605" s="16" t="str">
        <f>IFERROR(__xludf.DUMMYFUNCTION("""COMPUTED_VALUE"""),"4GB")</f>
        <v>4GB</v>
      </c>
      <c r="J605" s="18">
        <v>287.48</v>
      </c>
      <c r="K605" s="16">
        <v>4.0</v>
      </c>
      <c r="L605" s="18">
        <v>1149.92</v>
      </c>
      <c r="M605" s="16" t="s">
        <v>790</v>
      </c>
      <c r="N605" s="16" t="s">
        <v>791</v>
      </c>
      <c r="O605" s="16" t="s">
        <v>792</v>
      </c>
    </row>
    <row r="606" ht="15.75" customHeight="1">
      <c r="A606" s="19">
        <v>45613.0</v>
      </c>
      <c r="B606" s="16" t="s">
        <v>75</v>
      </c>
      <c r="C606" s="16" t="str">
        <f t="shared" si="1"/>
        <v>Cali</v>
      </c>
      <c r="D606" s="16" t="str">
        <f t="shared" si="2"/>
        <v>Cali</v>
      </c>
      <c r="E606" s="16" t="str">
        <f t="shared" si="3"/>
        <v>Cali</v>
      </c>
      <c r="F606" s="16" t="s">
        <v>67</v>
      </c>
      <c r="G606" s="17" t="str">
        <f>IFERROR(__xludf.DUMMYFUNCTION("SPLIT(F606:F1605,""-"") "),"Tablet")</f>
        <v>Tablet</v>
      </c>
      <c r="H606" s="16" t="str">
        <f>IFERROR(__xludf.DUMMYFUNCTION("""COMPUTED_VALUE"""),"Estándar")</f>
        <v>Estándar</v>
      </c>
      <c r="I606" s="16" t="str">
        <f>IFERROR(__xludf.DUMMYFUNCTION("""COMPUTED_VALUE"""),"4GB")</f>
        <v>4GB</v>
      </c>
      <c r="J606" s="18">
        <v>808.48</v>
      </c>
      <c r="K606" s="16">
        <v>4.0</v>
      </c>
      <c r="L606" s="18">
        <v>3233.92</v>
      </c>
      <c r="M606" s="16" t="s">
        <v>1212</v>
      </c>
      <c r="N606" s="16" t="s">
        <v>1213</v>
      </c>
      <c r="O606" s="16" t="s">
        <v>1214</v>
      </c>
    </row>
    <row r="607" ht="15.75" customHeight="1">
      <c r="A607" s="19">
        <v>45609.0</v>
      </c>
      <c r="B607" s="16" t="s">
        <v>58</v>
      </c>
      <c r="C607" s="16" t="str">
        <f t="shared" si="1"/>
        <v>Guadalajara</v>
      </c>
      <c r="D607" s="16" t="str">
        <f t="shared" si="2"/>
        <v>Guadalajara</v>
      </c>
      <c r="E607" s="16" t="str">
        <f t="shared" si="3"/>
        <v>Guadalajara</v>
      </c>
      <c r="F607" s="16" t="s">
        <v>50</v>
      </c>
      <c r="G607" s="17" t="str">
        <f>IFERROR(__xludf.DUMMYFUNCTION("SPLIT(F607:F1606,""-"") "),"Tablet")</f>
        <v>Tablet</v>
      </c>
      <c r="H607" s="16" t="str">
        <f>IFERROR(__xludf.DUMMYFUNCTION("""COMPUTED_VALUE"""),"Estándar")</f>
        <v>Estándar</v>
      </c>
      <c r="I607" s="16" t="str">
        <f>IFERROR(__xludf.DUMMYFUNCTION("""COMPUTED_VALUE"""),"32GB")</f>
        <v>32GB</v>
      </c>
      <c r="J607" s="18">
        <v>181.51</v>
      </c>
      <c r="K607" s="16">
        <v>5.0</v>
      </c>
      <c r="L607" s="18">
        <v>907.55</v>
      </c>
      <c r="M607" s="16" t="s">
        <v>1060</v>
      </c>
      <c r="N607" s="16" t="s">
        <v>1061</v>
      </c>
      <c r="O607" s="16" t="s">
        <v>1062</v>
      </c>
    </row>
    <row r="608" ht="15.75" customHeight="1">
      <c r="A608" s="19">
        <v>45616.0</v>
      </c>
      <c r="B608" s="16" t="s">
        <v>75</v>
      </c>
      <c r="C608" s="16" t="str">
        <f t="shared" si="1"/>
        <v>Cali</v>
      </c>
      <c r="D608" s="16" t="str">
        <f t="shared" si="2"/>
        <v>Cali</v>
      </c>
      <c r="E608" s="16" t="str">
        <f t="shared" si="3"/>
        <v>Cali</v>
      </c>
      <c r="F608" s="16" t="s">
        <v>67</v>
      </c>
      <c r="G608" s="17" t="str">
        <f>IFERROR(__xludf.DUMMYFUNCTION("SPLIT(F608:F1607,""-"") "),"Tablet")</f>
        <v>Tablet</v>
      </c>
      <c r="H608" s="16" t="str">
        <f>IFERROR(__xludf.DUMMYFUNCTION("""COMPUTED_VALUE"""),"Estándar")</f>
        <v>Estándar</v>
      </c>
      <c r="I608" s="16" t="str">
        <f>IFERROR(__xludf.DUMMYFUNCTION("""COMPUTED_VALUE"""),"4GB")</f>
        <v>4GB</v>
      </c>
      <c r="J608" s="18">
        <v>2246.65</v>
      </c>
      <c r="K608" s="16">
        <v>2.0</v>
      </c>
      <c r="L608" s="18">
        <v>4493.3</v>
      </c>
      <c r="M608" s="16" t="s">
        <v>1314</v>
      </c>
      <c r="N608" s="16" t="s">
        <v>1315</v>
      </c>
      <c r="O608" s="16" t="s">
        <v>1316</v>
      </c>
    </row>
    <row r="609" ht="15.75" customHeight="1">
      <c r="A609" s="19">
        <v>45609.0</v>
      </c>
      <c r="B609" s="16" t="s">
        <v>14</v>
      </c>
      <c r="C609" s="16" t="str">
        <f t="shared" si="1"/>
        <v>Bogotá</v>
      </c>
      <c r="D609" s="16" t="str">
        <f t="shared" si="2"/>
        <v>Bogotá</v>
      </c>
      <c r="E609" s="16" t="str">
        <f t="shared" si="3"/>
        <v>Bogotá</v>
      </c>
      <c r="F609" s="16" t="s">
        <v>167</v>
      </c>
      <c r="G609" s="17" t="str">
        <f>IFERROR(__xludf.DUMMYFUNCTION("SPLIT(F609:F1608,""-"") "),"Auriculares")</f>
        <v>Auriculares</v>
      </c>
      <c r="H609" s="16" t="str">
        <f>IFERROR(__xludf.DUMMYFUNCTION("""COMPUTED_VALUE"""),"Bluetooth")</f>
        <v>Bluetooth</v>
      </c>
      <c r="I609" s="16" t="str">
        <f>IFERROR(__xludf.DUMMYFUNCTION("""COMPUTED_VALUE"""),"32GB")</f>
        <v>32GB</v>
      </c>
      <c r="J609" s="18">
        <v>1029.22</v>
      </c>
      <c r="K609" s="16">
        <v>5.0</v>
      </c>
      <c r="L609" s="18">
        <v>5146.1</v>
      </c>
      <c r="M609" s="16" t="s">
        <v>1063</v>
      </c>
      <c r="N609" s="16" t="s">
        <v>1064</v>
      </c>
      <c r="O609" s="16" t="s">
        <v>1065</v>
      </c>
    </row>
    <row r="610" ht="15.75" customHeight="1">
      <c r="A610" s="19">
        <v>45623.0</v>
      </c>
      <c r="B610" s="16" t="s">
        <v>9</v>
      </c>
      <c r="C610" s="16" t="str">
        <f t="shared" si="1"/>
        <v>Monterrey</v>
      </c>
      <c r="D610" s="16" t="str">
        <f t="shared" si="2"/>
        <v>Monterrey</v>
      </c>
      <c r="E610" s="16" t="str">
        <f t="shared" si="3"/>
        <v>Monterrey</v>
      </c>
      <c r="F610" s="16" t="s">
        <v>15</v>
      </c>
      <c r="G610" s="17" t="str">
        <f>IFERROR(__xludf.DUMMYFUNCTION("SPLIT(F610:F1609,""-"") "),"Auriculares")</f>
        <v>Auriculares</v>
      </c>
      <c r="H610" s="16" t="str">
        <f>IFERROR(__xludf.DUMMYFUNCTION("""COMPUTED_VALUE"""),"Con cable")</f>
        <v>Con cable</v>
      </c>
      <c r="I610" s="16" t="str">
        <f>IFERROR(__xludf.DUMMYFUNCTION("""COMPUTED_VALUE"""),"32GB")</f>
        <v>32GB</v>
      </c>
      <c r="J610" s="18">
        <v>1713.18</v>
      </c>
      <c r="K610" s="16">
        <v>2.0</v>
      </c>
      <c r="L610" s="18">
        <v>3426.36</v>
      </c>
      <c r="M610" s="16" t="s">
        <v>1550</v>
      </c>
      <c r="N610" s="16" t="s">
        <v>1551</v>
      </c>
      <c r="O610" s="16" t="s">
        <v>1552</v>
      </c>
    </row>
    <row r="611" ht="15.75" customHeight="1">
      <c r="A611" s="23">
        <v>45576.0</v>
      </c>
      <c r="B611" s="16" t="s">
        <v>2359</v>
      </c>
      <c r="C611" s="16" t="str">
        <f t="shared" si="1"/>
        <v>Ciudad De M√©Xico</v>
      </c>
      <c r="D611" s="16" t="str">
        <f t="shared" si="2"/>
        <v>Ciudad De M√©Xico</v>
      </c>
      <c r="E611" s="16" t="str">
        <f t="shared" si="3"/>
        <v>Ciudad De MéXico</v>
      </c>
      <c r="F611" s="16" t="s">
        <v>36</v>
      </c>
      <c r="G611" s="17" t="str">
        <f>IFERROR(__xludf.DUMMYFUNCTION("SPLIT(F611:F1610,""-"") "),"Tablet")</f>
        <v>Tablet</v>
      </c>
      <c r="H611" s="16" t="str">
        <f>IFERROR(__xludf.DUMMYFUNCTION("""COMPUTED_VALUE"""),"Pro")</f>
        <v>Pro</v>
      </c>
      <c r="I611" s="16" t="str">
        <f>IFERROR(__xludf.DUMMYFUNCTION("""COMPUTED_VALUE"""),"4GB")</f>
        <v>4GB</v>
      </c>
      <c r="J611" s="18">
        <v>1375.85</v>
      </c>
      <c r="K611" s="16">
        <v>1.0</v>
      </c>
      <c r="L611" s="18">
        <v>1375.85</v>
      </c>
      <c r="M611" s="16" t="s">
        <v>129</v>
      </c>
      <c r="N611" s="16" t="s">
        <v>130</v>
      </c>
      <c r="O611" s="16" t="s">
        <v>131</v>
      </c>
    </row>
    <row r="612" ht="15.75" customHeight="1">
      <c r="A612" s="23">
        <v>45638.0</v>
      </c>
      <c r="B612" s="16" t="s">
        <v>58</v>
      </c>
      <c r="C612" s="16" t="str">
        <f t="shared" si="1"/>
        <v>Guadalajara</v>
      </c>
      <c r="D612" s="16" t="str">
        <f t="shared" si="2"/>
        <v>Guadalajara</v>
      </c>
      <c r="E612" s="16" t="str">
        <f t="shared" si="3"/>
        <v>Guadalajara</v>
      </c>
      <c r="F612" s="16" t="s">
        <v>59</v>
      </c>
      <c r="G612" s="17" t="str">
        <f>IFERROR(__xludf.DUMMYFUNCTION("SPLIT(F612:F1611,""-"") "),"Auriculares")</f>
        <v>Auriculares</v>
      </c>
      <c r="H612" s="16" t="str">
        <f>IFERROR(__xludf.DUMMYFUNCTION("""COMPUTED_VALUE"""),"Bluetooth")</f>
        <v>Bluetooth</v>
      </c>
      <c r="I612" s="16" t="str">
        <f>IFERROR(__xludf.DUMMYFUNCTION("""COMPUTED_VALUE"""),"4GB")</f>
        <v>4GB</v>
      </c>
      <c r="J612" s="18">
        <v>1268.59</v>
      </c>
      <c r="K612" s="16">
        <v>4.0</v>
      </c>
      <c r="L612" s="18">
        <v>5074.36</v>
      </c>
      <c r="M612" s="16" t="s">
        <v>1799</v>
      </c>
      <c r="N612" s="16" t="s">
        <v>1800</v>
      </c>
      <c r="O612" s="16" t="s">
        <v>1801</v>
      </c>
    </row>
    <row r="613" ht="15.75" customHeight="1">
      <c r="A613" s="19">
        <v>45645.0</v>
      </c>
      <c r="B613" s="16" t="s">
        <v>35</v>
      </c>
      <c r="C613" s="16" t="str">
        <f t="shared" si="1"/>
        <v>Medellín</v>
      </c>
      <c r="D613" s="16" t="str">
        <f t="shared" si="2"/>
        <v>Medellín</v>
      </c>
      <c r="E613" s="16" t="str">
        <f t="shared" si="3"/>
        <v>Medellín</v>
      </c>
      <c r="F613" s="16" t="s">
        <v>369</v>
      </c>
      <c r="G613" s="17" t="str">
        <f>IFERROR(__xludf.DUMMYFUNCTION("SPLIT(F613:F1612,""-"") "),"Auriculares")</f>
        <v>Auriculares</v>
      </c>
      <c r="H613" s="16" t="str">
        <f>IFERROR(__xludf.DUMMYFUNCTION("""COMPUTED_VALUE"""),"Con cable")</f>
        <v>Con cable</v>
      </c>
      <c r="I613" s="16" t="str">
        <f>IFERROR(__xludf.DUMMYFUNCTION("""COMPUTED_VALUE"""),"4GB")</f>
        <v>4GB</v>
      </c>
      <c r="J613" s="18">
        <v>633.29</v>
      </c>
      <c r="K613" s="16">
        <v>1.0</v>
      </c>
      <c r="L613" s="18">
        <v>633.29</v>
      </c>
      <c r="M613" s="16" t="s">
        <v>1984</v>
      </c>
      <c r="N613" s="16" t="s">
        <v>1985</v>
      </c>
      <c r="O613" s="16" t="s">
        <v>1986</v>
      </c>
    </row>
    <row r="614" ht="15.75" customHeight="1">
      <c r="A614" s="23">
        <v>45607.0</v>
      </c>
      <c r="B614" s="16" t="s">
        <v>9</v>
      </c>
      <c r="C614" s="16" t="str">
        <f t="shared" si="1"/>
        <v>Monterrey</v>
      </c>
      <c r="D614" s="16" t="str">
        <f t="shared" si="2"/>
        <v>Monterrey</v>
      </c>
      <c r="E614" s="16" t="str">
        <f t="shared" si="3"/>
        <v>Monterrey</v>
      </c>
      <c r="F614" s="16" t="s">
        <v>67</v>
      </c>
      <c r="G614" s="17" t="str">
        <f>IFERROR(__xludf.DUMMYFUNCTION("SPLIT(F614:F1613,""-"") "),"Tablet")</f>
        <v>Tablet</v>
      </c>
      <c r="H614" s="16" t="str">
        <f>IFERROR(__xludf.DUMMYFUNCTION("""COMPUTED_VALUE"""),"Estándar")</f>
        <v>Estándar</v>
      </c>
      <c r="I614" s="16" t="str">
        <f>IFERROR(__xludf.DUMMYFUNCTION("""COMPUTED_VALUE"""),"4GB")</f>
        <v>4GB</v>
      </c>
      <c r="J614" s="18">
        <v>664.19</v>
      </c>
      <c r="K614" s="16">
        <v>4.0</v>
      </c>
      <c r="L614" s="18">
        <v>2656.76</v>
      </c>
      <c r="M614" s="16" t="s">
        <v>984</v>
      </c>
      <c r="N614" s="16" t="s">
        <v>985</v>
      </c>
      <c r="O614" s="16" t="s">
        <v>986</v>
      </c>
    </row>
    <row r="615" ht="15.75" customHeight="1">
      <c r="A615" s="19">
        <v>45618.0</v>
      </c>
      <c r="B615" s="16" t="s">
        <v>14</v>
      </c>
      <c r="C615" s="16" t="str">
        <f t="shared" si="1"/>
        <v>Bogotá</v>
      </c>
      <c r="D615" s="16" t="str">
        <f t="shared" si="2"/>
        <v>Bogotá</v>
      </c>
      <c r="E615" s="16" t="str">
        <f t="shared" si="3"/>
        <v>Bogotá</v>
      </c>
      <c r="F615" s="16" t="s">
        <v>117</v>
      </c>
      <c r="G615" s="17" t="str">
        <f>IFERROR(__xludf.DUMMYFUNCTION("SPLIT(F615:F1614,""-"") "),"Teléfono")</f>
        <v>Teléfono</v>
      </c>
      <c r="H615" s="16" t="str">
        <f>IFERROR(__xludf.DUMMYFUNCTION("""COMPUTED_VALUE"""),"Gama baja")</f>
        <v>Gama baja</v>
      </c>
      <c r="I615" s="16" t="str">
        <f>IFERROR(__xludf.DUMMYFUNCTION("""COMPUTED_VALUE"""),"16GB")</f>
        <v>16GB</v>
      </c>
      <c r="J615" s="18">
        <v>2198.02</v>
      </c>
      <c r="K615" s="16">
        <v>1.0</v>
      </c>
      <c r="L615" s="18">
        <v>2198.02</v>
      </c>
      <c r="M615" s="16" t="s">
        <v>1392</v>
      </c>
      <c r="N615" s="16" t="s">
        <v>1393</v>
      </c>
      <c r="O615" s="16" t="s">
        <v>1394</v>
      </c>
    </row>
    <row r="616" ht="15.75" customHeight="1">
      <c r="A616" s="23">
        <v>45545.0</v>
      </c>
      <c r="B616" s="16" t="s">
        <v>35</v>
      </c>
      <c r="C616" s="16" t="str">
        <f t="shared" si="1"/>
        <v>Medellín</v>
      </c>
      <c r="D616" s="16" t="str">
        <f t="shared" si="2"/>
        <v>Medellín</v>
      </c>
      <c r="E616" s="16" t="str">
        <f t="shared" si="3"/>
        <v>Medellín</v>
      </c>
      <c r="F616" s="16" t="s">
        <v>94</v>
      </c>
      <c r="G616" s="17" t="str">
        <f>IFERROR(__xludf.DUMMYFUNCTION("SPLIT(F616:F1615,""-"") "),"Tablet")</f>
        <v>Tablet</v>
      </c>
      <c r="H616" s="16" t="str">
        <f>IFERROR(__xludf.DUMMYFUNCTION("""COMPUTED_VALUE"""),"Mini")</f>
        <v>Mini</v>
      </c>
      <c r="I616" s="16" t="str">
        <f>IFERROR(__xludf.DUMMYFUNCTION("""COMPUTED_VALUE"""),"8GB")</f>
        <v>8GB</v>
      </c>
      <c r="J616" s="18">
        <v>1406.32</v>
      </c>
      <c r="K616" s="16">
        <v>4.0</v>
      </c>
      <c r="L616" s="18">
        <v>5625.28</v>
      </c>
      <c r="M616" s="16" t="s">
        <v>2818</v>
      </c>
      <c r="N616" s="16" t="s">
        <v>2819</v>
      </c>
      <c r="O616" s="16" t="s">
        <v>2820</v>
      </c>
    </row>
    <row r="617" ht="15.75" customHeight="1">
      <c r="A617" s="23">
        <v>45576.0</v>
      </c>
      <c r="B617" s="16" t="s">
        <v>58</v>
      </c>
      <c r="C617" s="16" t="str">
        <f t="shared" si="1"/>
        <v>Guadalajara</v>
      </c>
      <c r="D617" s="16" t="str">
        <f t="shared" si="2"/>
        <v>Guadalajara</v>
      </c>
      <c r="E617" s="16" t="str">
        <f t="shared" si="3"/>
        <v>Guadalajara</v>
      </c>
      <c r="F617" s="16" t="s">
        <v>132</v>
      </c>
      <c r="G617" s="17" t="str">
        <f>IFERROR(__xludf.DUMMYFUNCTION("SPLIT(F617:F1616,""-"") "),"Tablet")</f>
        <v>Tablet</v>
      </c>
      <c r="H617" s="16" t="str">
        <f>IFERROR(__xludf.DUMMYFUNCTION("""COMPUTED_VALUE"""),"Pro")</f>
        <v>Pro</v>
      </c>
      <c r="I617" s="16" t="str">
        <f>IFERROR(__xludf.DUMMYFUNCTION("""COMPUTED_VALUE"""),"8GB")</f>
        <v>8GB</v>
      </c>
      <c r="J617" s="18">
        <v>421.59</v>
      </c>
      <c r="K617" s="16">
        <v>2.0</v>
      </c>
      <c r="L617" s="18">
        <v>843.18</v>
      </c>
      <c r="M617" s="16" t="s">
        <v>133</v>
      </c>
      <c r="N617" s="16" t="s">
        <v>134</v>
      </c>
      <c r="O617" s="16" t="s">
        <v>135</v>
      </c>
    </row>
    <row r="618" ht="15.75" customHeight="1">
      <c r="A618" s="19">
        <v>45623.0</v>
      </c>
      <c r="B618" s="16" t="s">
        <v>2359</v>
      </c>
      <c r="C618" s="16" t="str">
        <f t="shared" si="1"/>
        <v>Ciudad De M√©Xico</v>
      </c>
      <c r="D618" s="16" t="str">
        <f t="shared" si="2"/>
        <v>Ciudad De M√©Xico</v>
      </c>
      <c r="E618" s="16" t="str">
        <f t="shared" si="3"/>
        <v>Ciudad De MéXico</v>
      </c>
      <c r="F618" s="16" t="s">
        <v>67</v>
      </c>
      <c r="G618" s="17" t="str">
        <f>IFERROR(__xludf.DUMMYFUNCTION("SPLIT(F618:F1617,""-"") "),"Tablet")</f>
        <v>Tablet</v>
      </c>
      <c r="H618" s="16" t="str">
        <f>IFERROR(__xludf.DUMMYFUNCTION("""COMPUTED_VALUE"""),"Estándar")</f>
        <v>Estándar</v>
      </c>
      <c r="I618" s="16" t="str">
        <f>IFERROR(__xludf.DUMMYFUNCTION("""COMPUTED_VALUE"""),"4GB")</f>
        <v>4GB</v>
      </c>
      <c r="J618" s="18">
        <v>1160.86</v>
      </c>
      <c r="K618" s="16">
        <v>4.0</v>
      </c>
      <c r="L618" s="18">
        <v>4643.44</v>
      </c>
      <c r="M618" s="16" t="s">
        <v>1553</v>
      </c>
      <c r="N618" s="16" t="s">
        <v>1554</v>
      </c>
      <c r="O618" s="16" t="s">
        <v>1555</v>
      </c>
    </row>
    <row r="619" ht="15.75" customHeight="1">
      <c r="A619" s="23">
        <v>45303.0</v>
      </c>
      <c r="B619" s="16" t="s">
        <v>35</v>
      </c>
      <c r="C619" s="16" t="str">
        <f t="shared" si="1"/>
        <v>Medellín</v>
      </c>
      <c r="D619" s="16" t="str">
        <f t="shared" si="2"/>
        <v>Medellín</v>
      </c>
      <c r="E619" s="16" t="str">
        <f t="shared" si="3"/>
        <v>Medellín</v>
      </c>
      <c r="F619" s="16" t="s">
        <v>182</v>
      </c>
      <c r="G619" s="17" t="str">
        <f>IFERROR(__xludf.DUMMYFUNCTION("SPLIT(F619:F1618,""-"") "),"Tablet")</f>
        <v>Tablet</v>
      </c>
      <c r="H619" s="16" t="str">
        <f>IFERROR(__xludf.DUMMYFUNCTION("""COMPUTED_VALUE"""),"Mini")</f>
        <v>Mini</v>
      </c>
      <c r="I619" s="16" t="str">
        <f>IFERROR(__xludf.DUMMYFUNCTION("""COMPUTED_VALUE"""),"4GB")</f>
        <v>4GB</v>
      </c>
      <c r="J619" s="18">
        <v>340.31</v>
      </c>
      <c r="K619" s="16">
        <v>2.0</v>
      </c>
      <c r="L619" s="18">
        <v>680.62</v>
      </c>
      <c r="M619" s="16" t="s">
        <v>2821</v>
      </c>
      <c r="N619" s="16" t="s">
        <v>2822</v>
      </c>
      <c r="O619" s="16" t="s">
        <v>2823</v>
      </c>
    </row>
    <row r="620" ht="15.75" customHeight="1">
      <c r="A620" s="23">
        <v>45516.0</v>
      </c>
      <c r="B620" s="16" t="s">
        <v>35</v>
      </c>
      <c r="C620" s="16" t="str">
        <f t="shared" si="1"/>
        <v>Medellín</v>
      </c>
      <c r="D620" s="16" t="str">
        <f t="shared" si="2"/>
        <v>Medellín</v>
      </c>
      <c r="E620" s="16" t="str">
        <f t="shared" si="3"/>
        <v>Medellín</v>
      </c>
      <c r="F620" s="16" t="s">
        <v>31</v>
      </c>
      <c r="G620" s="17" t="str">
        <f>IFERROR(__xludf.DUMMYFUNCTION("SPLIT(F620:F1619,""-"") "),"Teléfono")</f>
        <v>Teléfono</v>
      </c>
      <c r="H620" s="16" t="str">
        <f>IFERROR(__xludf.DUMMYFUNCTION("""COMPUTED_VALUE"""),"Gama alta")</f>
        <v>Gama alta</v>
      </c>
      <c r="I620" s="16" t="str">
        <f>IFERROR(__xludf.DUMMYFUNCTION("""COMPUTED_VALUE"""),"32GB")</f>
        <v>32GB</v>
      </c>
      <c r="J620" s="18">
        <v>1916.11</v>
      </c>
      <c r="K620" s="16">
        <v>4.0</v>
      </c>
      <c r="L620" s="18">
        <v>7664.44</v>
      </c>
      <c r="M620" s="16" t="s">
        <v>2824</v>
      </c>
      <c r="N620" s="16" t="s">
        <v>2825</v>
      </c>
      <c r="O620" s="16" t="s">
        <v>2826</v>
      </c>
    </row>
    <row r="621" ht="15.75" customHeight="1">
      <c r="A621" s="19">
        <v>45579.0</v>
      </c>
      <c r="B621" s="16" t="s">
        <v>2359</v>
      </c>
      <c r="C621" s="16" t="str">
        <f t="shared" si="1"/>
        <v>Ciudad De M√©Xico</v>
      </c>
      <c r="D621" s="16" t="str">
        <f t="shared" si="2"/>
        <v>Ciudad De M√©Xico</v>
      </c>
      <c r="E621" s="16" t="str">
        <f t="shared" si="3"/>
        <v>Ciudad De MéXico</v>
      </c>
      <c r="F621" s="16" t="s">
        <v>229</v>
      </c>
      <c r="G621" s="17" t="str">
        <f>IFERROR(__xludf.DUMMYFUNCTION("SPLIT(F621:F1620,""-"") "),"Laptop")</f>
        <v>Laptop</v>
      </c>
      <c r="H621" s="16" t="str">
        <f>IFERROR(__xludf.DUMMYFUNCTION("""COMPUTED_VALUE"""),"Oficina")</f>
        <v>Oficina</v>
      </c>
      <c r="I621" s="16" t="str">
        <f>IFERROR(__xludf.DUMMYFUNCTION("""COMPUTED_VALUE"""),"4GB")</f>
        <v>4GB</v>
      </c>
      <c r="J621" s="18">
        <v>970.38</v>
      </c>
      <c r="K621" s="16">
        <v>5.0</v>
      </c>
      <c r="L621" s="18">
        <v>4851.9</v>
      </c>
      <c r="M621" s="16" t="s">
        <v>230</v>
      </c>
      <c r="N621" s="16" t="s">
        <v>231</v>
      </c>
      <c r="O621" s="16" t="s">
        <v>232</v>
      </c>
    </row>
    <row r="622" ht="15.75" customHeight="1">
      <c r="A622" s="23">
        <v>45547.0</v>
      </c>
      <c r="B622" s="16" t="s">
        <v>9</v>
      </c>
      <c r="C622" s="16" t="str">
        <f t="shared" si="1"/>
        <v>Monterrey</v>
      </c>
      <c r="D622" s="16" t="str">
        <f t="shared" si="2"/>
        <v>Monterrey</v>
      </c>
      <c r="E622" s="16" t="str">
        <f t="shared" si="3"/>
        <v>Monterrey</v>
      </c>
      <c r="F622" s="16" t="s">
        <v>259</v>
      </c>
      <c r="G622" s="17" t="str">
        <f>IFERROR(__xludf.DUMMYFUNCTION("SPLIT(F622:F1621,""-"") "),"Auriculares")</f>
        <v>Auriculares</v>
      </c>
      <c r="H622" s="16" t="str">
        <f>IFERROR(__xludf.DUMMYFUNCTION("""COMPUTED_VALUE"""),"Cancelación de ruido")</f>
        <v>Cancelación de ruido</v>
      </c>
      <c r="I622" s="16" t="str">
        <f>IFERROR(__xludf.DUMMYFUNCTION("""COMPUTED_VALUE"""),"8GB")</f>
        <v>8GB</v>
      </c>
      <c r="J622" s="18">
        <v>378.98</v>
      </c>
      <c r="K622" s="16">
        <v>1.0</v>
      </c>
      <c r="L622" s="18">
        <v>378.98</v>
      </c>
      <c r="M622" s="16" t="s">
        <v>2827</v>
      </c>
      <c r="N622" s="16" t="s">
        <v>2828</v>
      </c>
      <c r="O622" s="16" t="s">
        <v>2829</v>
      </c>
    </row>
    <row r="623" ht="15.75" customHeight="1">
      <c r="A623" s="19">
        <v>45620.0</v>
      </c>
      <c r="B623" s="16" t="s">
        <v>14</v>
      </c>
      <c r="C623" s="16" t="str">
        <f t="shared" si="1"/>
        <v>Bogotá</v>
      </c>
      <c r="D623" s="16" t="str">
        <f t="shared" si="2"/>
        <v>Bogotá</v>
      </c>
      <c r="E623" s="16" t="str">
        <f t="shared" si="3"/>
        <v>Bogotá</v>
      </c>
      <c r="F623" s="16" t="s">
        <v>182</v>
      </c>
      <c r="G623" s="17" t="str">
        <f>IFERROR(__xludf.DUMMYFUNCTION("SPLIT(F623:F1622,""-"") "),"Tablet")</f>
        <v>Tablet</v>
      </c>
      <c r="H623" s="16" t="str">
        <f>IFERROR(__xludf.DUMMYFUNCTION("""COMPUTED_VALUE"""),"Mini")</f>
        <v>Mini</v>
      </c>
      <c r="I623" s="16" t="str">
        <f>IFERROR(__xludf.DUMMYFUNCTION("""COMPUTED_VALUE"""),"4GB")</f>
        <v>4GB</v>
      </c>
      <c r="J623" s="18">
        <v>2028.12</v>
      </c>
      <c r="K623" s="16">
        <v>5.0</v>
      </c>
      <c r="L623" s="18">
        <v>10140.6</v>
      </c>
      <c r="M623" s="16" t="s">
        <v>1453</v>
      </c>
      <c r="N623" s="16" t="s">
        <v>1454</v>
      </c>
      <c r="O623" s="16" t="s">
        <v>1455</v>
      </c>
    </row>
    <row r="624" ht="15.75" customHeight="1">
      <c r="A624" s="19">
        <v>45650.0</v>
      </c>
      <c r="B624" s="16" t="s">
        <v>2359</v>
      </c>
      <c r="C624" s="16" t="str">
        <f t="shared" si="1"/>
        <v>Ciudad De M√©Xico</v>
      </c>
      <c r="D624" s="16" t="str">
        <f t="shared" si="2"/>
        <v>Ciudad De M√©Xico</v>
      </c>
      <c r="E624" s="16" t="str">
        <f t="shared" si="3"/>
        <v>Ciudad De MéXico</v>
      </c>
      <c r="F624" s="16" t="s">
        <v>121</v>
      </c>
      <c r="G624" s="17" t="str">
        <f>IFERROR(__xludf.DUMMYFUNCTION("SPLIT(F624:F1623,""-"") "),"Teléfono")</f>
        <v>Teléfono</v>
      </c>
      <c r="H624" s="16" t="str">
        <f>IFERROR(__xludf.DUMMYFUNCTION("""COMPUTED_VALUE"""),"Gama alta")</f>
        <v>Gama alta</v>
      </c>
      <c r="I624" s="16" t="str">
        <f>IFERROR(__xludf.DUMMYFUNCTION("""COMPUTED_VALUE"""),"8GB")</f>
        <v>8GB</v>
      </c>
      <c r="J624" s="18">
        <v>988.44</v>
      </c>
      <c r="K624" s="16">
        <v>2.0</v>
      </c>
      <c r="L624" s="18">
        <v>1976.88</v>
      </c>
      <c r="M624" s="16" t="s">
        <v>2144</v>
      </c>
      <c r="N624" s="16" t="s">
        <v>2145</v>
      </c>
      <c r="O624" s="16" t="s">
        <v>2146</v>
      </c>
    </row>
    <row r="625" ht="15.75" customHeight="1">
      <c r="A625" s="19">
        <v>45611.0</v>
      </c>
      <c r="B625" s="16" t="s">
        <v>58</v>
      </c>
      <c r="C625" s="16" t="str">
        <f t="shared" si="1"/>
        <v>Guadalajara</v>
      </c>
      <c r="D625" s="16" t="str">
        <f t="shared" si="2"/>
        <v>Guadalajara</v>
      </c>
      <c r="E625" s="16" t="str">
        <f t="shared" si="3"/>
        <v>Guadalajara</v>
      </c>
      <c r="F625" s="16" t="s">
        <v>430</v>
      </c>
      <c r="G625" s="17" t="str">
        <f>IFERROR(__xludf.DUMMYFUNCTION("SPLIT(F625:F1624,""-"") "),"Teléfono")</f>
        <v>Teléfono</v>
      </c>
      <c r="H625" s="16" t="str">
        <f>IFERROR(__xludf.DUMMYFUNCTION("""COMPUTED_VALUE"""),"Gama alta")</f>
        <v>Gama alta</v>
      </c>
      <c r="I625" s="16" t="str">
        <f>IFERROR(__xludf.DUMMYFUNCTION("""COMPUTED_VALUE"""),"4GB")</f>
        <v>4GB</v>
      </c>
      <c r="J625" s="18">
        <v>1832.97</v>
      </c>
      <c r="K625" s="16">
        <v>2.0</v>
      </c>
      <c r="L625" s="18">
        <v>3665.94</v>
      </c>
      <c r="M625" s="16" t="s">
        <v>1125</v>
      </c>
      <c r="N625" s="16" t="s">
        <v>1126</v>
      </c>
      <c r="O625" s="16" t="s">
        <v>1127</v>
      </c>
    </row>
    <row r="626" ht="15.75" customHeight="1">
      <c r="A626" s="19">
        <v>45645.0</v>
      </c>
      <c r="B626" s="16" t="s">
        <v>35</v>
      </c>
      <c r="C626" s="16" t="str">
        <f t="shared" si="1"/>
        <v>Medellín</v>
      </c>
      <c r="D626" s="16" t="str">
        <f t="shared" si="2"/>
        <v>Medellín</v>
      </c>
      <c r="E626" s="16" t="str">
        <f t="shared" si="3"/>
        <v>Medellín</v>
      </c>
      <c r="F626" s="16" t="s">
        <v>71</v>
      </c>
      <c r="G626" s="17" t="str">
        <f>IFERROR(__xludf.DUMMYFUNCTION("SPLIT(F626:F1625,""-"") "),"Auriculares")</f>
        <v>Auriculares</v>
      </c>
      <c r="H626" s="16" t="str">
        <f>IFERROR(__xludf.DUMMYFUNCTION("""COMPUTED_VALUE"""),"Bluetooth")</f>
        <v>Bluetooth</v>
      </c>
      <c r="I626" s="16" t="str">
        <f>IFERROR(__xludf.DUMMYFUNCTION("""COMPUTED_VALUE"""),"16GB")</f>
        <v>16GB</v>
      </c>
      <c r="J626" s="18">
        <v>530.94</v>
      </c>
      <c r="K626" s="16">
        <v>5.0</v>
      </c>
      <c r="L626" s="18">
        <v>2654.7</v>
      </c>
      <c r="M626" s="16" t="s">
        <v>1987</v>
      </c>
      <c r="N626" s="16" t="s">
        <v>1988</v>
      </c>
      <c r="O626" s="16" t="s">
        <v>1989</v>
      </c>
    </row>
    <row r="627" ht="15.75" customHeight="1">
      <c r="A627" s="19">
        <v>45625.0</v>
      </c>
      <c r="B627" s="16" t="s">
        <v>9</v>
      </c>
      <c r="C627" s="16" t="str">
        <f t="shared" si="1"/>
        <v>Monterrey</v>
      </c>
      <c r="D627" s="16" t="str">
        <f t="shared" si="2"/>
        <v>Monterrey</v>
      </c>
      <c r="E627" s="16" t="str">
        <f t="shared" si="3"/>
        <v>Monterrey</v>
      </c>
      <c r="F627" s="16" t="s">
        <v>10</v>
      </c>
      <c r="G627" s="17" t="str">
        <f>IFERROR(__xludf.DUMMYFUNCTION("SPLIT(F627:F1626,""-"") "),"Tablet")</f>
        <v>Tablet</v>
      </c>
      <c r="H627" s="16" t="str">
        <f>IFERROR(__xludf.DUMMYFUNCTION("""COMPUTED_VALUE"""),"Estándar")</f>
        <v>Estándar</v>
      </c>
      <c r="I627" s="16" t="str">
        <f>IFERROR(__xludf.DUMMYFUNCTION("""COMPUTED_VALUE"""),"8GB")</f>
        <v>8GB</v>
      </c>
      <c r="J627" s="18">
        <v>2254.91</v>
      </c>
      <c r="K627" s="16">
        <v>4.0</v>
      </c>
      <c r="L627" s="18">
        <v>9019.64</v>
      </c>
      <c r="M627" s="16" t="s">
        <v>1599</v>
      </c>
      <c r="N627" s="16" t="s">
        <v>1600</v>
      </c>
      <c r="O627" s="16" t="s">
        <v>1601</v>
      </c>
    </row>
    <row r="628" ht="15.75" customHeight="1">
      <c r="A628" s="19">
        <v>45645.0</v>
      </c>
      <c r="B628" s="16" t="s">
        <v>35</v>
      </c>
      <c r="C628" s="16" t="str">
        <f t="shared" si="1"/>
        <v>Medellín</v>
      </c>
      <c r="D628" s="16" t="str">
        <f t="shared" si="2"/>
        <v>Medellín</v>
      </c>
      <c r="E628" s="16" t="str">
        <f t="shared" si="3"/>
        <v>Medellín</v>
      </c>
      <c r="F628" s="16" t="s">
        <v>10</v>
      </c>
      <c r="G628" s="17" t="str">
        <f>IFERROR(__xludf.DUMMYFUNCTION("SPLIT(F628:F1627,""-"") "),"Tablet")</f>
        <v>Tablet</v>
      </c>
      <c r="H628" s="16" t="str">
        <f>IFERROR(__xludf.DUMMYFUNCTION("""COMPUTED_VALUE"""),"Estándar")</f>
        <v>Estándar</v>
      </c>
      <c r="I628" s="16" t="str">
        <f>IFERROR(__xludf.DUMMYFUNCTION("""COMPUTED_VALUE"""),"8GB")</f>
        <v>8GB</v>
      </c>
      <c r="J628" s="18">
        <v>127.35</v>
      </c>
      <c r="K628" s="16">
        <v>1.0</v>
      </c>
      <c r="L628" s="18">
        <v>127.35</v>
      </c>
      <c r="M628" s="16" t="s">
        <v>1990</v>
      </c>
      <c r="N628" s="16" t="s">
        <v>1991</v>
      </c>
      <c r="O628" s="16" t="s">
        <v>1992</v>
      </c>
    </row>
    <row r="629" ht="15.75" customHeight="1">
      <c r="A629" s="19">
        <v>45655.0</v>
      </c>
      <c r="B629" s="16" t="s">
        <v>2359</v>
      </c>
      <c r="C629" s="16" t="str">
        <f t="shared" si="1"/>
        <v>Ciudad De M√©Xico</v>
      </c>
      <c r="D629" s="16" t="str">
        <f t="shared" si="2"/>
        <v>Ciudad De M√©Xico</v>
      </c>
      <c r="E629" s="16" t="str">
        <f t="shared" si="3"/>
        <v>Ciudad De MéXico</v>
      </c>
      <c r="F629" s="16" t="s">
        <v>255</v>
      </c>
      <c r="G629" s="17" t="str">
        <f>IFERROR(__xludf.DUMMYFUNCTION("SPLIT(F629:F1628,""-"") "),"Auriculares")</f>
        <v>Auriculares</v>
      </c>
      <c r="H629" s="16" t="str">
        <f>IFERROR(__xludf.DUMMYFUNCTION("""COMPUTED_VALUE"""),"Bluetooth")</f>
        <v>Bluetooth</v>
      </c>
      <c r="I629" s="16" t="str">
        <f>IFERROR(__xludf.DUMMYFUNCTION("""COMPUTED_VALUE"""),"8GB")</f>
        <v>8GB</v>
      </c>
      <c r="J629" s="18">
        <v>732.27</v>
      </c>
      <c r="K629" s="16">
        <v>4.0</v>
      </c>
      <c r="L629" s="18">
        <v>2929.08</v>
      </c>
      <c r="M629" s="16" t="s">
        <v>2294</v>
      </c>
      <c r="N629" s="16" t="s">
        <v>2295</v>
      </c>
      <c r="O629" s="16" t="s">
        <v>2296</v>
      </c>
    </row>
    <row r="630" ht="15.75" customHeight="1">
      <c r="A630" s="23">
        <v>45392.0</v>
      </c>
      <c r="B630" s="16" t="s">
        <v>2359</v>
      </c>
      <c r="C630" s="16" t="str">
        <f t="shared" si="1"/>
        <v>Ciudad De M√©Xico</v>
      </c>
      <c r="D630" s="16" t="str">
        <f t="shared" si="2"/>
        <v>Ciudad De M√©Xico</v>
      </c>
      <c r="E630" s="16" t="str">
        <f t="shared" si="3"/>
        <v>Ciudad De MéXico</v>
      </c>
      <c r="F630" s="16" t="s">
        <v>36</v>
      </c>
      <c r="G630" s="17" t="str">
        <f>IFERROR(__xludf.DUMMYFUNCTION("SPLIT(F630:F1629,""-"") "),"Tablet")</f>
        <v>Tablet</v>
      </c>
      <c r="H630" s="16" t="str">
        <f>IFERROR(__xludf.DUMMYFUNCTION("""COMPUTED_VALUE"""),"Pro")</f>
        <v>Pro</v>
      </c>
      <c r="I630" s="16" t="str">
        <f>IFERROR(__xludf.DUMMYFUNCTION("""COMPUTED_VALUE"""),"4GB")</f>
        <v>4GB</v>
      </c>
      <c r="J630" s="18">
        <v>2063.96</v>
      </c>
      <c r="K630" s="16">
        <v>2.0</v>
      </c>
      <c r="L630" s="18">
        <v>4127.92</v>
      </c>
      <c r="M630" s="16" t="s">
        <v>2830</v>
      </c>
      <c r="N630" s="16" t="s">
        <v>2831</v>
      </c>
      <c r="O630" s="16" t="s">
        <v>2832</v>
      </c>
    </row>
    <row r="631" ht="15.75" customHeight="1">
      <c r="A631" s="19">
        <v>45651.0</v>
      </c>
      <c r="B631" s="16" t="s">
        <v>14</v>
      </c>
      <c r="C631" s="16" t="str">
        <f t="shared" si="1"/>
        <v>Bogotá</v>
      </c>
      <c r="D631" s="16" t="str">
        <f t="shared" si="2"/>
        <v>Bogotá</v>
      </c>
      <c r="E631" s="16" t="str">
        <f t="shared" si="3"/>
        <v>Bogotá</v>
      </c>
      <c r="F631" s="16" t="s">
        <v>171</v>
      </c>
      <c r="G631" s="17" t="str">
        <f>IFERROR(__xludf.DUMMYFUNCTION("SPLIT(F631:F1630,""-"") "),"Teléfono")</f>
        <v>Teléfono</v>
      </c>
      <c r="H631" s="16" t="str">
        <f>IFERROR(__xludf.DUMMYFUNCTION("""COMPUTED_VALUE"""),"Gama baja")</f>
        <v>Gama baja</v>
      </c>
      <c r="I631" s="16" t="str">
        <f>IFERROR(__xludf.DUMMYFUNCTION("""COMPUTED_VALUE"""),"4GB")</f>
        <v>4GB</v>
      </c>
      <c r="J631" s="18">
        <v>2271.98</v>
      </c>
      <c r="K631" s="16">
        <v>5.0</v>
      </c>
      <c r="L631" s="18">
        <v>11359.9</v>
      </c>
      <c r="M631" s="16" t="s">
        <v>2174</v>
      </c>
      <c r="N631" s="16" t="s">
        <v>2175</v>
      </c>
      <c r="O631" s="16" t="s">
        <v>2176</v>
      </c>
    </row>
    <row r="632" ht="15.75" customHeight="1">
      <c r="A632" s="19">
        <v>45612.0</v>
      </c>
      <c r="B632" s="16" t="s">
        <v>75</v>
      </c>
      <c r="C632" s="16" t="str">
        <f t="shared" si="1"/>
        <v>Cali</v>
      </c>
      <c r="D632" s="16" t="str">
        <f t="shared" si="2"/>
        <v>Cali</v>
      </c>
      <c r="E632" s="16" t="str">
        <f t="shared" si="3"/>
        <v>Cali</v>
      </c>
      <c r="F632" s="16" t="s">
        <v>389</v>
      </c>
      <c r="G632" s="17" t="str">
        <f>IFERROR(__xludf.DUMMYFUNCTION("SPLIT(F632:F1631,""-"") "),"Auriculares")</f>
        <v>Auriculares</v>
      </c>
      <c r="H632" s="16" t="str">
        <f>IFERROR(__xludf.DUMMYFUNCTION("""COMPUTED_VALUE"""),"Cancelación de ruido")</f>
        <v>Cancelación de ruido</v>
      </c>
      <c r="I632" s="16" t="str">
        <f>IFERROR(__xludf.DUMMYFUNCTION("""COMPUTED_VALUE"""),"4GB")</f>
        <v>4GB</v>
      </c>
      <c r="J632" s="18">
        <v>627.26</v>
      </c>
      <c r="K632" s="16">
        <v>1.0</v>
      </c>
      <c r="L632" s="18">
        <v>627.26</v>
      </c>
      <c r="M632" s="16" t="s">
        <v>1176</v>
      </c>
      <c r="N632" s="16" t="s">
        <v>1177</v>
      </c>
      <c r="O632" s="16" t="s">
        <v>1178</v>
      </c>
    </row>
    <row r="633" ht="15.75" customHeight="1">
      <c r="A633" s="23">
        <v>45361.0</v>
      </c>
      <c r="B633" s="16" t="s">
        <v>58</v>
      </c>
      <c r="C633" s="16" t="str">
        <f t="shared" si="1"/>
        <v>Guadalajara</v>
      </c>
      <c r="D633" s="16" t="str">
        <f t="shared" si="2"/>
        <v>Guadalajara</v>
      </c>
      <c r="E633" s="16" t="str">
        <f t="shared" si="3"/>
        <v>Guadalajara</v>
      </c>
      <c r="F633" s="16" t="s">
        <v>218</v>
      </c>
      <c r="G633" s="17" t="str">
        <f>IFERROR(__xludf.DUMMYFUNCTION("SPLIT(F633:F1632,""-"") "),"Teléfono")</f>
        <v>Teléfono</v>
      </c>
      <c r="H633" s="16" t="str">
        <f>IFERROR(__xludf.DUMMYFUNCTION("""COMPUTED_VALUE"""),"Gama media")</f>
        <v>Gama media</v>
      </c>
      <c r="I633" s="16" t="str">
        <f>IFERROR(__xludf.DUMMYFUNCTION("""COMPUTED_VALUE"""),"4GB")</f>
        <v>4GB</v>
      </c>
      <c r="J633" s="18">
        <v>2391.72</v>
      </c>
      <c r="K633" s="16">
        <v>1.0</v>
      </c>
      <c r="L633" s="18">
        <v>2391.72</v>
      </c>
      <c r="M633" s="16" t="s">
        <v>2833</v>
      </c>
      <c r="N633" s="16" t="s">
        <v>2834</v>
      </c>
      <c r="O633" s="16" t="s">
        <v>2835</v>
      </c>
    </row>
    <row r="634" ht="15.75" customHeight="1">
      <c r="A634" s="19">
        <v>45585.0</v>
      </c>
      <c r="B634" s="16" t="s">
        <v>58</v>
      </c>
      <c r="C634" s="16" t="str">
        <f t="shared" si="1"/>
        <v>Guadalajara</v>
      </c>
      <c r="D634" s="16" t="str">
        <f t="shared" si="2"/>
        <v>Guadalajara</v>
      </c>
      <c r="E634" s="16" t="str">
        <f t="shared" si="3"/>
        <v>Guadalajara</v>
      </c>
      <c r="F634" s="16" t="s">
        <v>81</v>
      </c>
      <c r="G634" s="17" t="str">
        <f>IFERROR(__xludf.DUMMYFUNCTION("SPLIT(F634:F1633,""-"") "),"Laptop")</f>
        <v>Laptop</v>
      </c>
      <c r="H634" s="16" t="str">
        <f>IFERROR(__xludf.DUMMYFUNCTION("""COMPUTED_VALUE"""),"Oficina")</f>
        <v>Oficina</v>
      </c>
      <c r="I634" s="16" t="str">
        <f>IFERROR(__xludf.DUMMYFUNCTION("""COMPUTED_VALUE"""),"16GB")</f>
        <v>16GB</v>
      </c>
      <c r="J634" s="18">
        <v>318.76</v>
      </c>
      <c r="K634" s="16">
        <v>3.0</v>
      </c>
      <c r="L634" s="18">
        <v>956.28</v>
      </c>
      <c r="M634" s="16" t="s">
        <v>480</v>
      </c>
      <c r="N634" s="16" t="s">
        <v>481</v>
      </c>
      <c r="O634" s="16" t="s">
        <v>482</v>
      </c>
    </row>
    <row r="635" ht="15.75" customHeight="1">
      <c r="A635" s="19">
        <v>45612.0</v>
      </c>
      <c r="B635" s="16" t="s">
        <v>14</v>
      </c>
      <c r="C635" s="16" t="str">
        <f t="shared" si="1"/>
        <v>Bogotá</v>
      </c>
      <c r="D635" s="16" t="str">
        <f t="shared" si="2"/>
        <v>Bogotá</v>
      </c>
      <c r="E635" s="16" t="str">
        <f t="shared" si="3"/>
        <v>Bogotá</v>
      </c>
      <c r="F635" s="16" t="s">
        <v>373</v>
      </c>
      <c r="G635" s="17" t="str">
        <f>IFERROR(__xludf.DUMMYFUNCTION("SPLIT(F635:F1634,""-"") "),"Teléfono")</f>
        <v>Teléfono</v>
      </c>
      <c r="H635" s="16" t="str">
        <f>IFERROR(__xludf.DUMMYFUNCTION("""COMPUTED_VALUE"""),"Gama media")</f>
        <v>Gama media</v>
      </c>
      <c r="I635" s="16" t="str">
        <f>IFERROR(__xludf.DUMMYFUNCTION("""COMPUTED_VALUE"""),"16GB")</f>
        <v>16GB</v>
      </c>
      <c r="J635" s="18">
        <v>1375.44</v>
      </c>
      <c r="K635" s="16">
        <v>4.0</v>
      </c>
      <c r="L635" s="18">
        <v>5501.76</v>
      </c>
      <c r="M635" s="16" t="s">
        <v>1179</v>
      </c>
      <c r="N635" s="16" t="s">
        <v>1180</v>
      </c>
      <c r="O635" s="16" t="s">
        <v>1181</v>
      </c>
    </row>
    <row r="636" ht="15.75" customHeight="1">
      <c r="A636" s="19">
        <v>45622.0</v>
      </c>
      <c r="B636" s="16" t="s">
        <v>14</v>
      </c>
      <c r="C636" s="16" t="str">
        <f t="shared" si="1"/>
        <v>Bogotá</v>
      </c>
      <c r="D636" s="16" t="str">
        <f t="shared" si="2"/>
        <v>Bogotá</v>
      </c>
      <c r="E636" s="16" t="str">
        <f t="shared" si="3"/>
        <v>Bogotá</v>
      </c>
      <c r="F636" s="16" t="s">
        <v>369</v>
      </c>
      <c r="G636" s="17" t="str">
        <f>IFERROR(__xludf.DUMMYFUNCTION("SPLIT(F636:F1635,""-"") "),"Auriculares")</f>
        <v>Auriculares</v>
      </c>
      <c r="H636" s="16" t="str">
        <f>IFERROR(__xludf.DUMMYFUNCTION("""COMPUTED_VALUE"""),"Con cable")</f>
        <v>Con cable</v>
      </c>
      <c r="I636" s="16" t="str">
        <f>IFERROR(__xludf.DUMMYFUNCTION("""COMPUTED_VALUE"""),"4GB")</f>
        <v>4GB</v>
      </c>
      <c r="J636" s="18">
        <v>488.25</v>
      </c>
      <c r="K636" s="16">
        <v>5.0</v>
      </c>
      <c r="L636" s="18">
        <v>2441.25</v>
      </c>
      <c r="M636" s="16" t="s">
        <v>1526</v>
      </c>
      <c r="N636" s="16" t="s">
        <v>1527</v>
      </c>
      <c r="O636" s="16" t="s">
        <v>1528</v>
      </c>
    </row>
    <row r="637" ht="15.75" customHeight="1">
      <c r="A637" s="23">
        <v>45485.0</v>
      </c>
      <c r="B637" s="16" t="s">
        <v>58</v>
      </c>
      <c r="C637" s="16" t="str">
        <f t="shared" si="1"/>
        <v>Guadalajara</v>
      </c>
      <c r="D637" s="16" t="str">
        <f t="shared" si="2"/>
        <v>Guadalajara</v>
      </c>
      <c r="E637" s="16" t="str">
        <f t="shared" si="3"/>
        <v>Guadalajara</v>
      </c>
      <c r="F637" s="16" t="s">
        <v>225</v>
      </c>
      <c r="G637" s="17" t="str">
        <f>IFERROR(__xludf.DUMMYFUNCTION("SPLIT(F637:F1636,""-"") "),"Laptop")</f>
        <v>Laptop</v>
      </c>
      <c r="H637" s="16" t="str">
        <f>IFERROR(__xludf.DUMMYFUNCTION("""COMPUTED_VALUE"""),"Gaming")</f>
        <v>Gaming</v>
      </c>
      <c r="I637" s="16" t="str">
        <f>IFERROR(__xludf.DUMMYFUNCTION("""COMPUTED_VALUE"""),"16GB")</f>
        <v>16GB</v>
      </c>
      <c r="J637" s="18">
        <v>1928.76</v>
      </c>
      <c r="K637" s="16">
        <v>2.0</v>
      </c>
      <c r="L637" s="18">
        <v>3857.52</v>
      </c>
      <c r="M637" s="16" t="s">
        <v>2836</v>
      </c>
      <c r="N637" s="16" t="s">
        <v>2837</v>
      </c>
      <c r="O637" s="16" t="s">
        <v>2838</v>
      </c>
    </row>
    <row r="638" ht="15.75" customHeight="1">
      <c r="A638" s="19">
        <v>45589.0</v>
      </c>
      <c r="B638" s="16" t="s">
        <v>75</v>
      </c>
      <c r="C638" s="16" t="str">
        <f t="shared" si="1"/>
        <v>Cali</v>
      </c>
      <c r="D638" s="16" t="str">
        <f t="shared" si="2"/>
        <v>Cali</v>
      </c>
      <c r="E638" s="16" t="str">
        <f t="shared" si="3"/>
        <v>Cali</v>
      </c>
      <c r="F638" s="16" t="s">
        <v>121</v>
      </c>
      <c r="G638" s="17" t="str">
        <f>IFERROR(__xludf.DUMMYFUNCTION("SPLIT(F638:F1637,""-"") "),"Teléfono")</f>
        <v>Teléfono</v>
      </c>
      <c r="H638" s="16" t="str">
        <f>IFERROR(__xludf.DUMMYFUNCTION("""COMPUTED_VALUE"""),"Gama alta")</f>
        <v>Gama alta</v>
      </c>
      <c r="I638" s="16" t="str">
        <f>IFERROR(__xludf.DUMMYFUNCTION("""COMPUTED_VALUE"""),"8GB")</f>
        <v>8GB</v>
      </c>
      <c r="J638" s="18">
        <v>1228.74</v>
      </c>
      <c r="K638" s="16">
        <v>2.0</v>
      </c>
      <c r="L638" s="18">
        <v>2457.48</v>
      </c>
      <c r="M638" s="16" t="s">
        <v>608</v>
      </c>
      <c r="N638" s="16" t="s">
        <v>609</v>
      </c>
      <c r="O638" s="16" t="s">
        <v>610</v>
      </c>
    </row>
    <row r="639" ht="15.75" customHeight="1">
      <c r="A639" s="19">
        <v>45588.0</v>
      </c>
      <c r="B639" s="16" t="s">
        <v>35</v>
      </c>
      <c r="C639" s="16" t="str">
        <f t="shared" si="1"/>
        <v>Medellín</v>
      </c>
      <c r="D639" s="16" t="str">
        <f t="shared" si="2"/>
        <v>Medellín</v>
      </c>
      <c r="E639" s="16" t="str">
        <f t="shared" si="3"/>
        <v>Medellín</v>
      </c>
      <c r="F639" s="16" t="s">
        <v>171</v>
      </c>
      <c r="G639" s="17" t="str">
        <f>IFERROR(__xludf.DUMMYFUNCTION("SPLIT(F639:F1638,""-"") "),"Teléfono")</f>
        <v>Teléfono</v>
      </c>
      <c r="H639" s="16" t="str">
        <f>IFERROR(__xludf.DUMMYFUNCTION("""COMPUTED_VALUE"""),"Gama baja")</f>
        <v>Gama baja</v>
      </c>
      <c r="I639" s="16" t="str">
        <f>IFERROR(__xludf.DUMMYFUNCTION("""COMPUTED_VALUE"""),"4GB")</f>
        <v>4GB</v>
      </c>
      <c r="J639" s="18">
        <v>2384.86</v>
      </c>
      <c r="K639" s="16">
        <v>4.0</v>
      </c>
      <c r="L639" s="18">
        <v>9539.44</v>
      </c>
      <c r="M639" s="16" t="s">
        <v>562</v>
      </c>
      <c r="N639" s="16" t="s">
        <v>563</v>
      </c>
      <c r="O639" s="16" t="s">
        <v>564</v>
      </c>
    </row>
    <row r="640" ht="15.75" customHeight="1">
      <c r="A640" s="19">
        <v>45580.0</v>
      </c>
      <c r="B640" s="16" t="s">
        <v>75</v>
      </c>
      <c r="C640" s="16" t="str">
        <f t="shared" si="1"/>
        <v>Cali</v>
      </c>
      <c r="D640" s="16" t="str">
        <f t="shared" si="2"/>
        <v>Cali</v>
      </c>
      <c r="E640" s="16" t="str">
        <f t="shared" si="3"/>
        <v>Cali</v>
      </c>
      <c r="F640" s="16" t="s">
        <v>190</v>
      </c>
      <c r="G640" s="17" t="str">
        <f>IFERROR(__xludf.DUMMYFUNCTION("SPLIT(F640:F1639,""-"") "),"Laptop")</f>
        <v>Laptop</v>
      </c>
      <c r="H640" s="16" t="str">
        <f>IFERROR(__xludf.DUMMYFUNCTION("""COMPUTED_VALUE"""),"Ultraliviana")</f>
        <v>Ultraliviana</v>
      </c>
      <c r="I640" s="16" t="str">
        <f>IFERROR(__xludf.DUMMYFUNCTION("""COMPUTED_VALUE"""),"16GB")</f>
        <v>16GB</v>
      </c>
      <c r="J640" s="18">
        <v>2332.8</v>
      </c>
      <c r="K640" s="16">
        <v>1.0</v>
      </c>
      <c r="L640" s="18">
        <v>2332.8</v>
      </c>
      <c r="M640" s="16" t="s">
        <v>286</v>
      </c>
      <c r="N640" s="16" t="s">
        <v>287</v>
      </c>
      <c r="O640" s="16" t="s">
        <v>288</v>
      </c>
    </row>
    <row r="641" ht="15.75" customHeight="1">
      <c r="A641" s="19">
        <v>45583.0</v>
      </c>
      <c r="B641" s="16" t="s">
        <v>58</v>
      </c>
      <c r="C641" s="16" t="str">
        <f t="shared" si="1"/>
        <v>Guadalajara</v>
      </c>
      <c r="D641" s="16" t="str">
        <f t="shared" si="2"/>
        <v>Guadalajara</v>
      </c>
      <c r="E641" s="16" t="str">
        <f t="shared" si="3"/>
        <v>Guadalajara</v>
      </c>
      <c r="F641" s="16" t="s">
        <v>85</v>
      </c>
      <c r="G641" s="17" t="str">
        <f>IFERROR(__xludf.DUMMYFUNCTION("SPLIT(F641:F1640,""-"") "),"Teléfono")</f>
        <v>Teléfono</v>
      </c>
      <c r="H641" s="16" t="str">
        <f>IFERROR(__xludf.DUMMYFUNCTION("""COMPUTED_VALUE"""),"Gama media")</f>
        <v>Gama media</v>
      </c>
      <c r="I641" s="16" t="str">
        <f>IFERROR(__xludf.DUMMYFUNCTION("""COMPUTED_VALUE"""),"32GB")</f>
        <v>32GB</v>
      </c>
      <c r="J641" s="22">
        <f>(L641/K641) </f>
        <v>1564.96</v>
      </c>
      <c r="K641" s="16">
        <v>4.0</v>
      </c>
      <c r="L641" s="18">
        <v>6259.84</v>
      </c>
      <c r="M641" s="16" t="s">
        <v>406</v>
      </c>
      <c r="N641" s="16" t="s">
        <v>407</v>
      </c>
      <c r="O641" s="16" t="s">
        <v>408</v>
      </c>
    </row>
    <row r="642" ht="15.75" customHeight="1">
      <c r="A642" s="19">
        <v>45578.0</v>
      </c>
      <c r="B642" s="16" t="s">
        <v>58</v>
      </c>
      <c r="C642" s="16" t="str">
        <f t="shared" si="1"/>
        <v>Guadalajara</v>
      </c>
      <c r="D642" s="16" t="str">
        <f t="shared" si="2"/>
        <v>Guadalajara</v>
      </c>
      <c r="E642" s="16" t="str">
        <f t="shared" si="3"/>
        <v>Guadalajara</v>
      </c>
      <c r="F642" s="16" t="s">
        <v>54</v>
      </c>
      <c r="G642" s="17" t="str">
        <f>IFERROR(__xludf.DUMMYFUNCTION("SPLIT(F642:F1641,""-"") "),"Laptop")</f>
        <v>Laptop</v>
      </c>
      <c r="H642" s="16" t="str">
        <f>IFERROR(__xludf.DUMMYFUNCTION("""COMPUTED_VALUE"""),"Oficina")</f>
        <v>Oficina</v>
      </c>
      <c r="I642" s="16" t="str">
        <f>IFERROR(__xludf.DUMMYFUNCTION("""COMPUTED_VALUE"""),"8GB")</f>
        <v>8GB</v>
      </c>
      <c r="J642" s="18">
        <v>1274.8</v>
      </c>
      <c r="K642" s="16">
        <v>5.0</v>
      </c>
      <c r="L642" s="18">
        <v>6374.0</v>
      </c>
      <c r="M642" s="16" t="s">
        <v>194</v>
      </c>
      <c r="N642" s="16" t="s">
        <v>195</v>
      </c>
      <c r="O642" s="16" t="s">
        <v>196</v>
      </c>
    </row>
    <row r="643" ht="15.75" customHeight="1">
      <c r="A643" s="23">
        <v>45638.0</v>
      </c>
      <c r="B643" s="16" t="s">
        <v>58</v>
      </c>
      <c r="C643" s="16" t="str">
        <f t="shared" si="1"/>
        <v>Guadalajara</v>
      </c>
      <c r="D643" s="16" t="str">
        <f t="shared" si="2"/>
        <v>Guadalajara</v>
      </c>
      <c r="E643" s="16" t="str">
        <f t="shared" si="3"/>
        <v>Guadalajara</v>
      </c>
      <c r="F643" s="16" t="s">
        <v>117</v>
      </c>
      <c r="G643" s="17" t="str">
        <f>IFERROR(__xludf.DUMMYFUNCTION("SPLIT(F643:F1642,""-"") "),"Teléfono")</f>
        <v>Teléfono</v>
      </c>
      <c r="H643" s="16" t="str">
        <f>IFERROR(__xludf.DUMMYFUNCTION("""COMPUTED_VALUE"""),"Gama baja")</f>
        <v>Gama baja</v>
      </c>
      <c r="I643" s="16" t="str">
        <f>IFERROR(__xludf.DUMMYFUNCTION("""COMPUTED_VALUE"""),"16GB")</f>
        <v>16GB</v>
      </c>
      <c r="J643" s="18">
        <v>181.16</v>
      </c>
      <c r="K643" s="16">
        <v>4.0</v>
      </c>
      <c r="L643" s="18">
        <v>724.64</v>
      </c>
      <c r="M643" s="16" t="s">
        <v>1802</v>
      </c>
      <c r="N643" s="16" t="s">
        <v>1803</v>
      </c>
      <c r="O643" s="16" t="s">
        <v>1804</v>
      </c>
    </row>
    <row r="644" ht="15.75" customHeight="1">
      <c r="A644" s="19">
        <v>45621.0</v>
      </c>
      <c r="B644" s="16" t="s">
        <v>2359</v>
      </c>
      <c r="C644" s="16" t="str">
        <f t="shared" si="1"/>
        <v>Ciudad De M√©Xico</v>
      </c>
      <c r="D644" s="16" t="str">
        <f t="shared" si="2"/>
        <v>Ciudad De M√©Xico</v>
      </c>
      <c r="E644" s="16" t="str">
        <f t="shared" si="3"/>
        <v>Ciudad De MéXico</v>
      </c>
      <c r="F644" s="16" t="s">
        <v>282</v>
      </c>
      <c r="G644" s="17" t="str">
        <f>IFERROR(__xludf.DUMMYFUNCTION("SPLIT(F644:F1643,""-"") "),"Tablet")</f>
        <v>Tablet</v>
      </c>
      <c r="H644" s="16" t="str">
        <f>IFERROR(__xludf.DUMMYFUNCTION("""COMPUTED_VALUE"""),"Pro")</f>
        <v>Pro</v>
      </c>
      <c r="I644" s="16" t="str">
        <f>IFERROR(__xludf.DUMMYFUNCTION("""COMPUTED_VALUE"""),"16GB")</f>
        <v>16GB</v>
      </c>
      <c r="J644" s="18">
        <v>110.53</v>
      </c>
      <c r="K644" s="16">
        <v>5.0</v>
      </c>
      <c r="L644" s="18">
        <v>552.65</v>
      </c>
      <c r="M644" s="16" t="s">
        <v>1481</v>
      </c>
      <c r="N644" s="16" t="s">
        <v>1482</v>
      </c>
      <c r="O644" s="16" t="s">
        <v>1483</v>
      </c>
    </row>
    <row r="645" ht="15.75" customHeight="1">
      <c r="A645" s="19">
        <v>45645.0</v>
      </c>
      <c r="B645" s="16" t="s">
        <v>9</v>
      </c>
      <c r="C645" s="16" t="str">
        <f t="shared" si="1"/>
        <v>Monterrey</v>
      </c>
      <c r="D645" s="16" t="str">
        <f t="shared" si="2"/>
        <v>Monterrey</v>
      </c>
      <c r="E645" s="16" t="str">
        <f t="shared" si="3"/>
        <v>Monterrey</v>
      </c>
      <c r="F645" s="16" t="s">
        <v>373</v>
      </c>
      <c r="G645" s="17" t="str">
        <f>IFERROR(__xludf.DUMMYFUNCTION("SPLIT(F645:F1644,""-"") "),"Teléfono")</f>
        <v>Teléfono</v>
      </c>
      <c r="H645" s="16" t="str">
        <f>IFERROR(__xludf.DUMMYFUNCTION("""COMPUTED_VALUE"""),"Gama media")</f>
        <v>Gama media</v>
      </c>
      <c r="I645" s="16" t="str">
        <f>IFERROR(__xludf.DUMMYFUNCTION("""COMPUTED_VALUE"""),"16GB")</f>
        <v>16GB</v>
      </c>
      <c r="J645" s="18">
        <v>1008.28</v>
      </c>
      <c r="K645" s="16">
        <v>5.0</v>
      </c>
      <c r="L645" s="18">
        <v>5041.4</v>
      </c>
      <c r="M645" s="16" t="s">
        <v>1993</v>
      </c>
      <c r="N645" s="16" t="s">
        <v>1994</v>
      </c>
      <c r="O645" s="16" t="s">
        <v>1995</v>
      </c>
    </row>
    <row r="646" ht="15.75" customHeight="1">
      <c r="A646" s="19">
        <v>45596.0</v>
      </c>
      <c r="B646" s="16" t="s">
        <v>75</v>
      </c>
      <c r="C646" s="16" t="str">
        <f t="shared" si="1"/>
        <v>Cali</v>
      </c>
      <c r="D646" s="16" t="str">
        <f t="shared" si="2"/>
        <v>Cali</v>
      </c>
      <c r="E646" s="16" t="str">
        <f t="shared" si="3"/>
        <v>Cali</v>
      </c>
      <c r="F646" s="16" t="s">
        <v>319</v>
      </c>
      <c r="G646" s="17" t="str">
        <f>IFERROR(__xludf.DUMMYFUNCTION("SPLIT(F646:F1645,""-"") "),"Tablet")</f>
        <v>Tablet</v>
      </c>
      <c r="H646" s="16" t="str">
        <f>IFERROR(__xludf.DUMMYFUNCTION("""COMPUTED_VALUE"""),"Pro")</f>
        <v>Pro</v>
      </c>
      <c r="I646" s="16" t="str">
        <f>IFERROR(__xludf.DUMMYFUNCTION("""COMPUTED_VALUE"""),"32GB")</f>
        <v>32GB</v>
      </c>
      <c r="J646" s="18">
        <v>1758.16</v>
      </c>
      <c r="K646" s="16">
        <v>5.0</v>
      </c>
      <c r="L646" s="18">
        <v>8790.8</v>
      </c>
      <c r="M646" s="16" t="s">
        <v>793</v>
      </c>
      <c r="N646" s="16" t="s">
        <v>794</v>
      </c>
      <c r="O646" s="16" t="s">
        <v>795</v>
      </c>
    </row>
    <row r="647" ht="15.75" customHeight="1">
      <c r="A647" s="23">
        <v>45361.0</v>
      </c>
      <c r="B647" s="16" t="s">
        <v>35</v>
      </c>
      <c r="C647" s="16" t="str">
        <f t="shared" si="1"/>
        <v>Medellín</v>
      </c>
      <c r="D647" s="16" t="str">
        <f t="shared" si="2"/>
        <v>Medellín</v>
      </c>
      <c r="E647" s="16" t="str">
        <f t="shared" si="3"/>
        <v>Medellín</v>
      </c>
      <c r="F647" s="16" t="s">
        <v>63</v>
      </c>
      <c r="G647" s="17" t="str">
        <f>IFERROR(__xludf.DUMMYFUNCTION("SPLIT(F647:F1646,""-"") "),"Laptop")</f>
        <v>Laptop</v>
      </c>
      <c r="H647" s="16" t="str">
        <f>IFERROR(__xludf.DUMMYFUNCTION("""COMPUTED_VALUE"""),"Ultraliviana")</f>
        <v>Ultraliviana</v>
      </c>
      <c r="I647" s="16" t="str">
        <f>IFERROR(__xludf.DUMMYFUNCTION("""COMPUTED_VALUE"""),"4GB")</f>
        <v>4GB</v>
      </c>
      <c r="J647" s="18">
        <v>548.67</v>
      </c>
      <c r="K647" s="16">
        <v>2.0</v>
      </c>
      <c r="L647" s="18">
        <v>1097.34</v>
      </c>
      <c r="M647" s="16" t="s">
        <v>2839</v>
      </c>
      <c r="N647" s="16" t="s">
        <v>2840</v>
      </c>
      <c r="O647" s="16" t="s">
        <v>2841</v>
      </c>
    </row>
    <row r="648" ht="15.75" customHeight="1">
      <c r="A648" s="23">
        <v>45301.0</v>
      </c>
      <c r="B648" s="16" t="s">
        <v>35</v>
      </c>
      <c r="C648" s="16" t="str">
        <f t="shared" si="1"/>
        <v>Medellín</v>
      </c>
      <c r="D648" s="16" t="str">
        <f t="shared" si="2"/>
        <v>Medellín</v>
      </c>
      <c r="E648" s="16" t="str">
        <f t="shared" si="3"/>
        <v>Medellín</v>
      </c>
      <c r="F648" s="16" t="s">
        <v>399</v>
      </c>
      <c r="G648" s="17" t="str">
        <f>IFERROR(__xludf.DUMMYFUNCTION("SPLIT(F648:F1647,""-"") "),"Laptop")</f>
        <v>Laptop</v>
      </c>
      <c r="H648" s="16" t="str">
        <f>IFERROR(__xludf.DUMMYFUNCTION("""COMPUTED_VALUE"""),"Gaming")</f>
        <v>Gaming</v>
      </c>
      <c r="I648" s="16" t="str">
        <f>IFERROR(__xludf.DUMMYFUNCTION("""COMPUTED_VALUE"""),"4GB")</f>
        <v>4GB</v>
      </c>
      <c r="J648" s="18">
        <v>664.18</v>
      </c>
      <c r="K648" s="16">
        <v>2.0</v>
      </c>
      <c r="L648" s="18">
        <v>1328.36</v>
      </c>
      <c r="M648" s="16" t="s">
        <v>2842</v>
      </c>
      <c r="N648" s="16" t="s">
        <v>2843</v>
      </c>
      <c r="O648" s="16" t="s">
        <v>2844</v>
      </c>
    </row>
    <row r="649" ht="15.75" customHeight="1">
      <c r="A649" s="19">
        <v>45621.0</v>
      </c>
      <c r="B649" s="16" t="s">
        <v>35</v>
      </c>
      <c r="C649" s="16" t="str">
        <f t="shared" si="1"/>
        <v>Medellín</v>
      </c>
      <c r="D649" s="16" t="str">
        <f t="shared" si="2"/>
        <v>Medellín</v>
      </c>
      <c r="E649" s="16" t="str">
        <f t="shared" si="3"/>
        <v>Medellín</v>
      </c>
      <c r="F649" s="16" t="s">
        <v>125</v>
      </c>
      <c r="G649" s="17" t="str">
        <f>IFERROR(__xludf.DUMMYFUNCTION("SPLIT(F649:F1648,""-"") "),"Tel√©fono")</f>
        <v>Tel√©fono</v>
      </c>
      <c r="H649" s="16" t="str">
        <f>IFERROR(__xludf.DUMMYFUNCTION("""COMPUTED_VALUE"""),"Gama media")</f>
        <v>Gama media</v>
      </c>
      <c r="I649" s="16" t="str">
        <f>IFERROR(__xludf.DUMMYFUNCTION("""COMPUTED_VALUE"""),"8GB")</f>
        <v>8GB</v>
      </c>
      <c r="J649" s="18">
        <v>1453.6</v>
      </c>
      <c r="K649" s="16">
        <v>4.0</v>
      </c>
      <c r="L649" s="18">
        <v>5814.4</v>
      </c>
      <c r="M649" s="16" t="s">
        <v>1484</v>
      </c>
      <c r="N649" s="16" t="s">
        <v>1485</v>
      </c>
      <c r="O649" s="16" t="s">
        <v>1486</v>
      </c>
    </row>
    <row r="650" ht="15.75" customHeight="1">
      <c r="A650" s="19">
        <v>45614.0</v>
      </c>
      <c r="B650" s="16" t="s">
        <v>14</v>
      </c>
      <c r="C650" s="16" t="str">
        <f t="shared" si="1"/>
        <v>Bogotá</v>
      </c>
      <c r="D650" s="16" t="str">
        <f t="shared" si="2"/>
        <v>Bogotá</v>
      </c>
      <c r="E650" s="16" t="str">
        <f t="shared" si="3"/>
        <v>Bogotá</v>
      </c>
      <c r="F650" s="16" t="s">
        <v>76</v>
      </c>
      <c r="G650" s="17" t="str">
        <f>IFERROR(__xludf.DUMMYFUNCTION("SPLIT(F650:F1649,""-"") "),"Tablet")</f>
        <v>Tablet</v>
      </c>
      <c r="H650" s="16" t="str">
        <f>IFERROR(__xludf.DUMMYFUNCTION("""COMPUTED_VALUE"""),"Mini")</f>
        <v>Mini</v>
      </c>
      <c r="I650" s="16" t="str">
        <f>IFERROR(__xludf.DUMMYFUNCTION("""COMPUTED_VALUE"""),"32GB")</f>
        <v>32GB</v>
      </c>
      <c r="J650" s="18">
        <v>2191.24</v>
      </c>
      <c r="K650" s="16">
        <v>5.0</v>
      </c>
      <c r="L650" s="18">
        <v>10956.2</v>
      </c>
      <c r="M650" s="16" t="s">
        <v>1251</v>
      </c>
      <c r="N650" s="16" t="s">
        <v>1252</v>
      </c>
      <c r="O650" s="16" t="s">
        <v>1253</v>
      </c>
    </row>
    <row r="651" ht="15.75" customHeight="1">
      <c r="A651" s="19">
        <v>45579.0</v>
      </c>
      <c r="B651" s="16" t="s">
        <v>75</v>
      </c>
      <c r="C651" s="16" t="str">
        <f t="shared" si="1"/>
        <v>Cali</v>
      </c>
      <c r="D651" s="16" t="str">
        <f t="shared" si="2"/>
        <v>Cali</v>
      </c>
      <c r="E651" s="16" t="str">
        <f t="shared" si="3"/>
        <v>Cali</v>
      </c>
      <c r="F651" s="16" t="s">
        <v>233</v>
      </c>
      <c r="G651" s="17" t="str">
        <f>IFERROR(__xludf.DUMMYFUNCTION("SPLIT(F651:F1650,""-"") "),"Tablet")</f>
        <v>Tablet</v>
      </c>
      <c r="H651" s="16" t="str">
        <f>IFERROR(__xludf.DUMMYFUNCTION("""COMPUTED_VALUE"""),"Mini")</f>
        <v>Mini</v>
      </c>
      <c r="I651" s="16" t="str">
        <f>IFERROR(__xludf.DUMMYFUNCTION("""COMPUTED_VALUE"""),"16GB")</f>
        <v>16GB</v>
      </c>
      <c r="J651" s="18">
        <v>2101.48</v>
      </c>
      <c r="K651" s="16">
        <v>2.0</v>
      </c>
      <c r="L651" s="18">
        <v>4202.96</v>
      </c>
      <c r="M651" s="16" t="s">
        <v>234</v>
      </c>
      <c r="N651" s="16" t="s">
        <v>235</v>
      </c>
      <c r="O651" s="16" t="s">
        <v>236</v>
      </c>
    </row>
    <row r="652" ht="15.75" customHeight="1">
      <c r="A652" s="19">
        <v>45651.0</v>
      </c>
      <c r="B652" s="16" t="s">
        <v>75</v>
      </c>
      <c r="C652" s="16" t="str">
        <f t="shared" si="1"/>
        <v>Cali</v>
      </c>
      <c r="D652" s="16" t="str">
        <f t="shared" si="2"/>
        <v>Cali</v>
      </c>
      <c r="E652" s="16" t="str">
        <f t="shared" si="3"/>
        <v>Cali</v>
      </c>
      <c r="F652" s="16" t="s">
        <v>121</v>
      </c>
      <c r="G652" s="17" t="str">
        <f>IFERROR(__xludf.DUMMYFUNCTION("SPLIT(F652:F1651,""-"") "),"Teléfono")</f>
        <v>Teléfono</v>
      </c>
      <c r="H652" s="16" t="str">
        <f>IFERROR(__xludf.DUMMYFUNCTION("""COMPUTED_VALUE"""),"Gama alta")</f>
        <v>Gama alta</v>
      </c>
      <c r="I652" s="16" t="str">
        <f>IFERROR(__xludf.DUMMYFUNCTION("""COMPUTED_VALUE"""),"8GB")</f>
        <v>8GB</v>
      </c>
      <c r="J652" s="18">
        <v>2461.45</v>
      </c>
      <c r="K652" s="16">
        <v>4.0</v>
      </c>
      <c r="L652" s="18">
        <v>9845.8</v>
      </c>
      <c r="M652" s="16" t="s">
        <v>2177</v>
      </c>
      <c r="N652" s="16" t="s">
        <v>2178</v>
      </c>
      <c r="O652" s="16" t="s">
        <v>2179</v>
      </c>
    </row>
    <row r="653" ht="15.75" customHeight="1">
      <c r="A653" s="19">
        <v>45583.0</v>
      </c>
      <c r="B653" s="16" t="s">
        <v>35</v>
      </c>
      <c r="C653" s="16" t="str">
        <f t="shared" si="1"/>
        <v>Medellín</v>
      </c>
      <c r="D653" s="16" t="str">
        <f t="shared" si="2"/>
        <v>Medellín</v>
      </c>
      <c r="E653" s="16" t="str">
        <f t="shared" si="3"/>
        <v>Medellín</v>
      </c>
      <c r="F653" s="16" t="s">
        <v>67</v>
      </c>
      <c r="G653" s="17" t="str">
        <f>IFERROR(__xludf.DUMMYFUNCTION("SPLIT(F653:F1652,""-"") "),"Tablet")</f>
        <v>Tablet</v>
      </c>
      <c r="H653" s="16" t="str">
        <f>IFERROR(__xludf.DUMMYFUNCTION("""COMPUTED_VALUE"""),"Estándar")</f>
        <v>Estándar</v>
      </c>
      <c r="I653" s="16" t="str">
        <f>IFERROR(__xludf.DUMMYFUNCTION("""COMPUTED_VALUE"""),"4GB")</f>
        <v>4GB</v>
      </c>
      <c r="J653" s="18">
        <v>1972.43</v>
      </c>
      <c r="K653" s="16">
        <v>5.0</v>
      </c>
      <c r="L653" s="18">
        <v>9862.15</v>
      </c>
      <c r="M653" s="16" t="s">
        <v>409</v>
      </c>
      <c r="N653" s="16" t="s">
        <v>410</v>
      </c>
      <c r="O653" s="16" t="s">
        <v>411</v>
      </c>
    </row>
    <row r="654" ht="15.75" customHeight="1">
      <c r="A654" s="23">
        <v>45607.0</v>
      </c>
      <c r="B654" s="16" t="s">
        <v>14</v>
      </c>
      <c r="C654" s="16" t="str">
        <f t="shared" si="1"/>
        <v>Bogotá</v>
      </c>
      <c r="D654" s="16" t="str">
        <f t="shared" si="2"/>
        <v>Bogotá</v>
      </c>
      <c r="E654" s="16" t="str">
        <f t="shared" si="3"/>
        <v>Bogotá</v>
      </c>
      <c r="F654" s="16" t="s">
        <v>54</v>
      </c>
      <c r="G654" s="17" t="str">
        <f>IFERROR(__xludf.DUMMYFUNCTION("SPLIT(F654:F1653,""-"") "),"Laptop")</f>
        <v>Laptop</v>
      </c>
      <c r="H654" s="16" t="str">
        <f>IFERROR(__xludf.DUMMYFUNCTION("""COMPUTED_VALUE"""),"Oficina")</f>
        <v>Oficina</v>
      </c>
      <c r="I654" s="16" t="str">
        <f>IFERROR(__xludf.DUMMYFUNCTION("""COMPUTED_VALUE"""),"8GB")</f>
        <v>8GB</v>
      </c>
      <c r="J654" s="18">
        <v>214.86</v>
      </c>
      <c r="K654" s="16">
        <v>5.0</v>
      </c>
      <c r="L654" s="18">
        <v>1074.3</v>
      </c>
      <c r="M654" s="16" t="s">
        <v>987</v>
      </c>
      <c r="N654" s="16" t="s">
        <v>988</v>
      </c>
      <c r="O654" s="16" t="s">
        <v>989</v>
      </c>
    </row>
    <row r="655" ht="15.75" customHeight="1">
      <c r="A655" s="19">
        <v>45581.0</v>
      </c>
      <c r="B655" s="16" t="s">
        <v>35</v>
      </c>
      <c r="C655" s="16" t="str">
        <f t="shared" si="1"/>
        <v>Medellín</v>
      </c>
      <c r="D655" s="16" t="str">
        <f t="shared" si="2"/>
        <v>Medellín</v>
      </c>
      <c r="E655" s="16" t="str">
        <f t="shared" si="3"/>
        <v>Medellín</v>
      </c>
      <c r="F655" s="16" t="s">
        <v>167</v>
      </c>
      <c r="G655" s="17" t="str">
        <f>IFERROR(__xludf.DUMMYFUNCTION("SPLIT(F655:F1654,""-"") "),"Auriculares")</f>
        <v>Auriculares</v>
      </c>
      <c r="H655" s="16" t="str">
        <f>IFERROR(__xludf.DUMMYFUNCTION("""COMPUTED_VALUE"""),"Bluetooth")</f>
        <v>Bluetooth</v>
      </c>
      <c r="I655" s="16" t="str">
        <f>IFERROR(__xludf.DUMMYFUNCTION("""COMPUTED_VALUE"""),"32GB")</f>
        <v>32GB</v>
      </c>
      <c r="J655" s="18">
        <v>397.5</v>
      </c>
      <c r="K655" s="16">
        <v>2.0</v>
      </c>
      <c r="L655" s="18">
        <v>795.0</v>
      </c>
      <c r="M655" s="16" t="s">
        <v>335</v>
      </c>
      <c r="N655" s="16" t="s">
        <v>336</v>
      </c>
      <c r="O655" s="16" t="s">
        <v>337</v>
      </c>
    </row>
    <row r="656" ht="15.75" customHeight="1">
      <c r="A656" s="23">
        <v>45608.0</v>
      </c>
      <c r="B656" s="16" t="s">
        <v>58</v>
      </c>
      <c r="C656" s="16" t="str">
        <f t="shared" si="1"/>
        <v>Guadalajara</v>
      </c>
      <c r="D656" s="16" t="str">
        <f t="shared" si="2"/>
        <v>Guadalajara</v>
      </c>
      <c r="E656" s="16" t="str">
        <f t="shared" si="3"/>
        <v>Guadalajara</v>
      </c>
      <c r="F656" s="16" t="s">
        <v>63</v>
      </c>
      <c r="G656" s="17" t="str">
        <f>IFERROR(__xludf.DUMMYFUNCTION("SPLIT(F656:F1655,""-"") "),"Laptop")</f>
        <v>Laptop</v>
      </c>
      <c r="H656" s="16" t="str">
        <f>IFERROR(__xludf.DUMMYFUNCTION("""COMPUTED_VALUE"""),"Ultraliviana")</f>
        <v>Ultraliviana</v>
      </c>
      <c r="I656" s="16" t="str">
        <f>IFERROR(__xludf.DUMMYFUNCTION("""COMPUTED_VALUE"""),"4GB")</f>
        <v>4GB</v>
      </c>
      <c r="J656" s="18">
        <v>1673.73</v>
      </c>
      <c r="K656" s="16">
        <v>1.0</v>
      </c>
      <c r="L656" s="18">
        <v>1673.73</v>
      </c>
      <c r="M656" s="16" t="s">
        <v>1015</v>
      </c>
      <c r="N656" s="16" t="s">
        <v>1016</v>
      </c>
      <c r="O656" s="16" t="s">
        <v>1017</v>
      </c>
    </row>
    <row r="657" ht="15.75" customHeight="1">
      <c r="A657" s="23">
        <v>45483.0</v>
      </c>
      <c r="B657" s="16" t="s">
        <v>2359</v>
      </c>
      <c r="C657" s="16" t="str">
        <f t="shared" si="1"/>
        <v>Ciudad De M√©Xico</v>
      </c>
      <c r="D657" s="16" t="str">
        <f t="shared" si="2"/>
        <v>Ciudad De M√©Xico</v>
      </c>
      <c r="E657" s="16" t="str">
        <f t="shared" si="3"/>
        <v>Ciudad De MéXico</v>
      </c>
      <c r="F657" s="16" t="s">
        <v>117</v>
      </c>
      <c r="G657" s="17" t="str">
        <f>IFERROR(__xludf.DUMMYFUNCTION("SPLIT(F657:F1656,""-"") "),"Teléfono")</f>
        <v>Teléfono</v>
      </c>
      <c r="H657" s="16" t="str">
        <f>IFERROR(__xludf.DUMMYFUNCTION("""COMPUTED_VALUE"""),"Gama baja")</f>
        <v>Gama baja</v>
      </c>
      <c r="I657" s="16" t="str">
        <f>IFERROR(__xludf.DUMMYFUNCTION("""COMPUTED_VALUE"""),"16GB")</f>
        <v>16GB</v>
      </c>
      <c r="J657" s="18">
        <v>1395.95</v>
      </c>
      <c r="K657" s="16">
        <v>3.0</v>
      </c>
      <c r="L657" s="18">
        <v>4187.85</v>
      </c>
      <c r="M657" s="16" t="s">
        <v>2845</v>
      </c>
      <c r="N657" s="16" t="s">
        <v>2846</v>
      </c>
      <c r="O657" s="16" t="s">
        <v>2847</v>
      </c>
    </row>
    <row r="658" ht="15.75" customHeight="1">
      <c r="A658" s="19">
        <v>45652.0</v>
      </c>
      <c r="B658" s="16" t="s">
        <v>58</v>
      </c>
      <c r="C658" s="16" t="str">
        <f t="shared" si="1"/>
        <v>Guadalajara</v>
      </c>
      <c r="D658" s="16" t="str">
        <f t="shared" si="2"/>
        <v>Guadalajara</v>
      </c>
      <c r="E658" s="16" t="str">
        <f t="shared" si="3"/>
        <v>Guadalajara</v>
      </c>
      <c r="F658" s="16" t="s">
        <v>344</v>
      </c>
      <c r="G658" s="17" t="str">
        <f>IFERROR(__xludf.DUMMYFUNCTION("SPLIT(F658:F1657,""-"") "),"Laptop")</f>
        <v>Laptop</v>
      </c>
      <c r="H658" s="16" t="str">
        <f>IFERROR(__xludf.DUMMYFUNCTION("""COMPUTED_VALUE"""),"Ultraliviana")</f>
        <v>Ultraliviana</v>
      </c>
      <c r="I658" s="16" t="str">
        <f>IFERROR(__xludf.DUMMYFUNCTION("""COMPUTED_VALUE"""),"8GB")</f>
        <v>8GB</v>
      </c>
      <c r="J658" s="18">
        <v>2140.33</v>
      </c>
      <c r="K658" s="16">
        <v>5.0</v>
      </c>
      <c r="L658" s="18">
        <v>10701.65</v>
      </c>
      <c r="M658" s="16" t="s">
        <v>2204</v>
      </c>
      <c r="N658" s="16" t="s">
        <v>2205</v>
      </c>
      <c r="O658" s="16" t="s">
        <v>2206</v>
      </c>
    </row>
    <row r="659" ht="15.75" customHeight="1">
      <c r="A659" s="23">
        <v>45485.0</v>
      </c>
      <c r="B659" s="16" t="s">
        <v>9</v>
      </c>
      <c r="C659" s="16" t="str">
        <f t="shared" si="1"/>
        <v>Monterrey</v>
      </c>
      <c r="D659" s="16" t="str">
        <f t="shared" si="2"/>
        <v>Monterrey</v>
      </c>
      <c r="E659" s="16" t="str">
        <f t="shared" si="3"/>
        <v>Monterrey</v>
      </c>
      <c r="F659" s="16" t="s">
        <v>218</v>
      </c>
      <c r="G659" s="17" t="str">
        <f>IFERROR(__xludf.DUMMYFUNCTION("SPLIT(F659:F1658,""-"") "),"Teléfono")</f>
        <v>Teléfono</v>
      </c>
      <c r="H659" s="16" t="str">
        <f>IFERROR(__xludf.DUMMYFUNCTION("""COMPUTED_VALUE"""),"Gama media")</f>
        <v>Gama media</v>
      </c>
      <c r="I659" s="16" t="str">
        <f>IFERROR(__xludf.DUMMYFUNCTION("""COMPUTED_VALUE"""),"4GB")</f>
        <v>4GB</v>
      </c>
      <c r="J659" s="18">
        <v>2167.21</v>
      </c>
      <c r="K659" s="16">
        <v>2.0</v>
      </c>
      <c r="L659" s="18">
        <v>4334.42</v>
      </c>
      <c r="M659" s="16" t="s">
        <v>2848</v>
      </c>
      <c r="N659" s="16" t="s">
        <v>2849</v>
      </c>
      <c r="O659" s="16" t="s">
        <v>2850</v>
      </c>
    </row>
    <row r="660" ht="15.75" customHeight="1">
      <c r="A660" s="19">
        <v>45614.0</v>
      </c>
      <c r="B660" s="16" t="s">
        <v>14</v>
      </c>
      <c r="C660" s="16" t="str">
        <f t="shared" si="1"/>
        <v>Bogotá</v>
      </c>
      <c r="D660" s="16" t="str">
        <f t="shared" si="2"/>
        <v>Bogotá</v>
      </c>
      <c r="E660" s="16" t="str">
        <f t="shared" si="3"/>
        <v>Bogotá</v>
      </c>
      <c r="F660" s="16" t="s">
        <v>373</v>
      </c>
      <c r="G660" s="17" t="str">
        <f>IFERROR(__xludf.DUMMYFUNCTION("SPLIT(F660:F1659,""-"") "),"Teléfono")</f>
        <v>Teléfono</v>
      </c>
      <c r="H660" s="16" t="str">
        <f>IFERROR(__xludf.DUMMYFUNCTION("""COMPUTED_VALUE"""),"Gama media")</f>
        <v>Gama media</v>
      </c>
      <c r="I660" s="16" t="str">
        <f>IFERROR(__xludf.DUMMYFUNCTION("""COMPUTED_VALUE"""),"16GB")</f>
        <v>16GB</v>
      </c>
      <c r="J660" s="18">
        <v>276.58</v>
      </c>
      <c r="K660" s="16">
        <v>1.0</v>
      </c>
      <c r="L660" s="18">
        <v>276.58</v>
      </c>
      <c r="M660" s="16" t="s">
        <v>1254</v>
      </c>
      <c r="N660" s="16" t="s">
        <v>1255</v>
      </c>
      <c r="O660" s="16" t="s">
        <v>1256</v>
      </c>
    </row>
    <row r="661" ht="15.75" customHeight="1">
      <c r="A661" s="19">
        <v>45621.0</v>
      </c>
      <c r="B661" s="16" t="s">
        <v>35</v>
      </c>
      <c r="C661" s="16" t="str">
        <f t="shared" si="1"/>
        <v>Medellín</v>
      </c>
      <c r="D661" s="16" t="str">
        <f t="shared" si="2"/>
        <v>Medellín</v>
      </c>
      <c r="E661" s="16" t="str">
        <f t="shared" si="3"/>
        <v>Medellín</v>
      </c>
      <c r="F661" s="16" t="s">
        <v>255</v>
      </c>
      <c r="G661" s="17" t="str">
        <f>IFERROR(__xludf.DUMMYFUNCTION("SPLIT(F661:F1660,""-"") "),"Auriculares")</f>
        <v>Auriculares</v>
      </c>
      <c r="H661" s="16" t="str">
        <f>IFERROR(__xludf.DUMMYFUNCTION("""COMPUTED_VALUE"""),"Bluetooth")</f>
        <v>Bluetooth</v>
      </c>
      <c r="I661" s="16" t="str">
        <f>IFERROR(__xludf.DUMMYFUNCTION("""COMPUTED_VALUE"""),"8GB")</f>
        <v>8GB</v>
      </c>
      <c r="J661" s="18">
        <v>2062.25</v>
      </c>
      <c r="K661" s="16">
        <v>3.0</v>
      </c>
      <c r="L661" s="18">
        <v>6186.75</v>
      </c>
      <c r="M661" s="16" t="s">
        <v>1487</v>
      </c>
      <c r="N661" s="16" t="s">
        <v>1488</v>
      </c>
      <c r="O661" s="16" t="s">
        <v>1489</v>
      </c>
    </row>
    <row r="662" ht="15.75" customHeight="1">
      <c r="A662" s="19">
        <v>45594.0</v>
      </c>
      <c r="B662" s="16" t="s">
        <v>2515</v>
      </c>
      <c r="C662" s="16" t="str">
        <f t="shared" si="1"/>
        <v>Ciudad De M√Âxico</v>
      </c>
      <c r="D662" s="16" t="str">
        <f t="shared" si="2"/>
        <v>Ciudad De M√Âxico</v>
      </c>
      <c r="E662" s="16" t="str">
        <f t="shared" si="3"/>
        <v>Ciudad De M√Âxico</v>
      </c>
      <c r="F662" s="16" t="s">
        <v>225</v>
      </c>
      <c r="G662" s="17" t="str">
        <f>IFERROR(__xludf.DUMMYFUNCTION("SPLIT(F662:F1661,""-"") "),"Laptop")</f>
        <v>Laptop</v>
      </c>
      <c r="H662" s="16" t="str">
        <f>IFERROR(__xludf.DUMMYFUNCTION("""COMPUTED_VALUE"""),"Gaming")</f>
        <v>Gaming</v>
      </c>
      <c r="I662" s="16" t="str">
        <f>IFERROR(__xludf.DUMMYFUNCTION("""COMPUTED_VALUE"""),"16GB")</f>
        <v>16GB</v>
      </c>
      <c r="J662" s="18">
        <v>2343.81</v>
      </c>
      <c r="K662" s="16">
        <v>4.0</v>
      </c>
      <c r="L662" s="18">
        <v>9375.24</v>
      </c>
      <c r="M662" s="16" t="s">
        <v>757</v>
      </c>
      <c r="N662" s="16" t="s">
        <v>758</v>
      </c>
      <c r="O662" s="16" t="s">
        <v>759</v>
      </c>
    </row>
    <row r="663" ht="15.75" customHeight="1">
      <c r="A663" s="19">
        <v>45612.0</v>
      </c>
      <c r="B663" s="16" t="s">
        <v>58</v>
      </c>
      <c r="C663" s="16" t="str">
        <f t="shared" si="1"/>
        <v>Guadalajara</v>
      </c>
      <c r="D663" s="16" t="str">
        <f t="shared" si="2"/>
        <v>Guadalajara</v>
      </c>
      <c r="E663" s="16" t="str">
        <f t="shared" si="3"/>
        <v>Guadalajara</v>
      </c>
      <c r="F663" s="16" t="s">
        <v>389</v>
      </c>
      <c r="G663" s="17" t="str">
        <f>IFERROR(__xludf.DUMMYFUNCTION("SPLIT(F663:F1662,""-"") "),"Auriculares")</f>
        <v>Auriculares</v>
      </c>
      <c r="H663" s="16" t="str">
        <f>IFERROR(__xludf.DUMMYFUNCTION("""COMPUTED_VALUE"""),"Cancelación de ruido")</f>
        <v>Cancelación de ruido</v>
      </c>
      <c r="I663" s="16" t="str">
        <f>IFERROR(__xludf.DUMMYFUNCTION("""COMPUTED_VALUE"""),"4GB")</f>
        <v>4GB</v>
      </c>
      <c r="J663" s="18">
        <v>1397.49</v>
      </c>
      <c r="K663" s="16">
        <v>3.0</v>
      </c>
      <c r="L663" s="18">
        <v>4192.47</v>
      </c>
      <c r="M663" s="16" t="s">
        <v>1182</v>
      </c>
      <c r="N663" s="16" t="s">
        <v>1183</v>
      </c>
      <c r="O663" s="16" t="s">
        <v>1184</v>
      </c>
    </row>
    <row r="664" ht="15.75" customHeight="1">
      <c r="A664" s="19">
        <v>45611.0</v>
      </c>
      <c r="B664" s="16" t="s">
        <v>58</v>
      </c>
      <c r="C664" s="16" t="str">
        <f t="shared" si="1"/>
        <v>Guadalajara</v>
      </c>
      <c r="D664" s="16" t="str">
        <f t="shared" si="2"/>
        <v>Guadalajara</v>
      </c>
      <c r="E664" s="16" t="str">
        <f t="shared" si="3"/>
        <v>Guadalajara</v>
      </c>
      <c r="F664" s="16" t="s">
        <v>67</v>
      </c>
      <c r="G664" s="17" t="str">
        <f>IFERROR(__xludf.DUMMYFUNCTION("SPLIT(F664:F1663,""-"") "),"Tablet")</f>
        <v>Tablet</v>
      </c>
      <c r="H664" s="16" t="str">
        <f>IFERROR(__xludf.DUMMYFUNCTION("""COMPUTED_VALUE"""),"Estándar")</f>
        <v>Estándar</v>
      </c>
      <c r="I664" s="16" t="str">
        <f>IFERROR(__xludf.DUMMYFUNCTION("""COMPUTED_VALUE"""),"4GB")</f>
        <v>4GB</v>
      </c>
      <c r="J664" s="18">
        <v>1159.32</v>
      </c>
      <c r="K664" s="16">
        <v>5.0</v>
      </c>
      <c r="L664" s="18">
        <v>5796.6</v>
      </c>
      <c r="M664" s="16" t="s">
        <v>1128</v>
      </c>
      <c r="N664" s="16" t="s">
        <v>1129</v>
      </c>
      <c r="O664" s="16" t="s">
        <v>1130</v>
      </c>
    </row>
    <row r="665" ht="15.75" customHeight="1">
      <c r="A665" s="19">
        <v>45648.0</v>
      </c>
      <c r="B665" s="16" t="s">
        <v>2044</v>
      </c>
      <c r="C665" s="16" t="str">
        <f t="shared" si="1"/>
        <v>Monterrey</v>
      </c>
      <c r="D665" s="16" t="str">
        <f t="shared" si="2"/>
        <v>Monterrey</v>
      </c>
      <c r="E665" s="16" t="str">
        <f t="shared" si="3"/>
        <v>Monterrey</v>
      </c>
      <c r="F665" s="16" t="s">
        <v>190</v>
      </c>
      <c r="G665" s="17" t="str">
        <f>IFERROR(__xludf.DUMMYFUNCTION("SPLIT(F665:F1664,""-"") "),"Laptop")</f>
        <v>Laptop</v>
      </c>
      <c r="H665" s="16" t="str">
        <f>IFERROR(__xludf.DUMMYFUNCTION("""COMPUTED_VALUE"""),"Ultraliviana")</f>
        <v>Ultraliviana</v>
      </c>
      <c r="I665" s="16" t="str">
        <f>IFERROR(__xludf.DUMMYFUNCTION("""COMPUTED_VALUE"""),"16GB")</f>
        <v>16GB</v>
      </c>
      <c r="J665" s="18">
        <v>1717.67</v>
      </c>
      <c r="K665" s="16">
        <v>4.0</v>
      </c>
      <c r="L665" s="18">
        <v>6870.68</v>
      </c>
      <c r="M665" s="16" t="s">
        <v>2075</v>
      </c>
      <c r="N665" s="16" t="s">
        <v>2076</v>
      </c>
      <c r="O665" s="16" t="s">
        <v>2077</v>
      </c>
    </row>
    <row r="666" ht="15.75" customHeight="1">
      <c r="A666" s="19">
        <v>45591.0</v>
      </c>
      <c r="B666" s="16" t="s">
        <v>75</v>
      </c>
      <c r="C666" s="16" t="str">
        <f t="shared" si="1"/>
        <v>Cali</v>
      </c>
      <c r="D666" s="16" t="str">
        <f t="shared" si="2"/>
        <v>Cali</v>
      </c>
      <c r="E666" s="16" t="str">
        <f t="shared" si="3"/>
        <v>Cali</v>
      </c>
      <c r="F666" s="16" t="s">
        <v>121</v>
      </c>
      <c r="G666" s="17" t="str">
        <f>IFERROR(__xludf.DUMMYFUNCTION("SPLIT(F666:F1665,""-"") "),"Teléfono")</f>
        <v>Teléfono</v>
      </c>
      <c r="H666" s="16" t="str">
        <f>IFERROR(__xludf.DUMMYFUNCTION("""COMPUTED_VALUE"""),"Gama alta")</f>
        <v>Gama alta</v>
      </c>
      <c r="I666" s="16" t="str">
        <f>IFERROR(__xludf.DUMMYFUNCTION("""COMPUTED_VALUE"""),"8GB")</f>
        <v>8GB</v>
      </c>
      <c r="J666" s="18">
        <v>611.99</v>
      </c>
      <c r="K666" s="16">
        <v>2.0</v>
      </c>
      <c r="L666" s="18">
        <v>1223.98</v>
      </c>
      <c r="M666" s="16" t="s">
        <v>657</v>
      </c>
      <c r="N666" s="16" t="s">
        <v>658</v>
      </c>
      <c r="O666" s="16" t="s">
        <v>659</v>
      </c>
    </row>
    <row r="667" ht="15.75" customHeight="1">
      <c r="A667" s="23">
        <v>45302.0</v>
      </c>
      <c r="B667" s="16" t="s">
        <v>35</v>
      </c>
      <c r="C667" s="16" t="str">
        <f t="shared" si="1"/>
        <v>Medellín</v>
      </c>
      <c r="D667" s="16" t="str">
        <f t="shared" si="2"/>
        <v>Medellín</v>
      </c>
      <c r="E667" s="16" t="str">
        <f t="shared" si="3"/>
        <v>Medellín</v>
      </c>
      <c r="F667" s="16" t="s">
        <v>10</v>
      </c>
      <c r="G667" s="17" t="str">
        <f>IFERROR(__xludf.DUMMYFUNCTION("SPLIT(F667:F1666,""-"") "),"Tablet")</f>
        <v>Tablet</v>
      </c>
      <c r="H667" s="16" t="str">
        <f>IFERROR(__xludf.DUMMYFUNCTION("""COMPUTED_VALUE"""),"Estándar")</f>
        <v>Estándar</v>
      </c>
      <c r="I667" s="16" t="str">
        <f>IFERROR(__xludf.DUMMYFUNCTION("""COMPUTED_VALUE"""),"8GB")</f>
        <v>8GB</v>
      </c>
      <c r="J667" s="18">
        <v>1865.37</v>
      </c>
      <c r="K667" s="16">
        <v>1.0</v>
      </c>
      <c r="L667" s="18">
        <v>1865.37</v>
      </c>
      <c r="M667" s="16" t="s">
        <v>2851</v>
      </c>
      <c r="N667" s="16" t="s">
        <v>2852</v>
      </c>
      <c r="O667" s="16" t="s">
        <v>2853</v>
      </c>
    </row>
    <row r="668" ht="15.75" customHeight="1">
      <c r="A668" s="23">
        <v>45514.0</v>
      </c>
      <c r="B668" s="16" t="s">
        <v>14</v>
      </c>
      <c r="C668" s="16" t="str">
        <f t="shared" si="1"/>
        <v>Bogotá</v>
      </c>
      <c r="D668" s="16" t="str">
        <f t="shared" si="2"/>
        <v>Bogotá</v>
      </c>
      <c r="E668" s="16" t="str">
        <f t="shared" si="3"/>
        <v>Bogotá</v>
      </c>
      <c r="F668" s="16" t="s">
        <v>23</v>
      </c>
      <c r="G668" s="17" t="str">
        <f>IFERROR(__xludf.DUMMYFUNCTION("SPLIT(F668:F1667,""-"") "),"Tablet")</f>
        <v>Tablet</v>
      </c>
      <c r="H668" s="16" t="str">
        <f>IFERROR(__xludf.DUMMYFUNCTION("""COMPUTED_VALUE"""),"Estándar")</f>
        <v>Estándar</v>
      </c>
      <c r="I668" s="16" t="str">
        <f>IFERROR(__xludf.DUMMYFUNCTION("""COMPUTED_VALUE"""),"16GB")</f>
        <v>16GB</v>
      </c>
      <c r="J668" s="18">
        <v>642.95</v>
      </c>
      <c r="K668" s="16">
        <v>2.0</v>
      </c>
      <c r="L668" s="18">
        <v>1285.9</v>
      </c>
      <c r="M668" s="16" t="s">
        <v>2854</v>
      </c>
      <c r="N668" s="16" t="s">
        <v>2855</v>
      </c>
      <c r="O668" s="16" t="s">
        <v>2856</v>
      </c>
    </row>
    <row r="669" ht="15.75" customHeight="1">
      <c r="A669" s="19">
        <v>45592.0</v>
      </c>
      <c r="B669" s="16" t="s">
        <v>2359</v>
      </c>
      <c r="C669" s="16" t="str">
        <f t="shared" si="1"/>
        <v>Ciudad De M√©Xico</v>
      </c>
      <c r="D669" s="16" t="str">
        <f t="shared" si="2"/>
        <v>Ciudad De M√©Xico</v>
      </c>
      <c r="E669" s="16" t="str">
        <f t="shared" si="3"/>
        <v>Ciudad De MéXico</v>
      </c>
      <c r="F669" s="16" t="s">
        <v>85</v>
      </c>
      <c r="G669" s="17" t="str">
        <f>IFERROR(__xludf.DUMMYFUNCTION("SPLIT(F669:F1668,""-"") "),"Teléfono")</f>
        <v>Teléfono</v>
      </c>
      <c r="H669" s="16" t="str">
        <f>IFERROR(__xludf.DUMMYFUNCTION("""COMPUTED_VALUE"""),"Gama media")</f>
        <v>Gama media</v>
      </c>
      <c r="I669" s="16" t="str">
        <f>IFERROR(__xludf.DUMMYFUNCTION("""COMPUTED_VALUE"""),"32GB")</f>
        <v>32GB</v>
      </c>
      <c r="J669" s="18">
        <v>1237.66</v>
      </c>
      <c r="K669" s="16">
        <v>1.0</v>
      </c>
      <c r="L669" s="18">
        <v>1237.66</v>
      </c>
      <c r="M669" s="16" t="s">
        <v>688</v>
      </c>
      <c r="N669" s="16" t="s">
        <v>689</v>
      </c>
      <c r="O669" s="16" t="s">
        <v>690</v>
      </c>
    </row>
    <row r="670" ht="15.75" customHeight="1">
      <c r="A670" s="23">
        <v>45393.0</v>
      </c>
      <c r="B670" s="16" t="s">
        <v>35</v>
      </c>
      <c r="C670" s="16" t="str">
        <f t="shared" si="1"/>
        <v>Medellín</v>
      </c>
      <c r="D670" s="16" t="str">
        <f t="shared" si="2"/>
        <v>Medellín</v>
      </c>
      <c r="E670" s="16" t="str">
        <f t="shared" si="3"/>
        <v>Medellín</v>
      </c>
      <c r="F670" s="16" t="s">
        <v>190</v>
      </c>
      <c r="G670" s="17" t="str">
        <f>IFERROR(__xludf.DUMMYFUNCTION("SPLIT(F670:F1669,""-"") "),"Laptop")</f>
        <v>Laptop</v>
      </c>
      <c r="H670" s="16" t="str">
        <f>IFERROR(__xludf.DUMMYFUNCTION("""COMPUTED_VALUE"""),"Ultraliviana")</f>
        <v>Ultraliviana</v>
      </c>
      <c r="I670" s="16" t="str">
        <f>IFERROR(__xludf.DUMMYFUNCTION("""COMPUTED_VALUE"""),"16GB")</f>
        <v>16GB</v>
      </c>
      <c r="J670" s="18">
        <v>1172.2</v>
      </c>
      <c r="K670" s="16">
        <v>1.0</v>
      </c>
      <c r="L670" s="18">
        <v>1172.2</v>
      </c>
      <c r="M670" s="16" t="s">
        <v>2857</v>
      </c>
      <c r="N670" s="16" t="s">
        <v>2858</v>
      </c>
      <c r="O670" s="16" t="s">
        <v>2859</v>
      </c>
    </row>
    <row r="671" ht="15.75" customHeight="1">
      <c r="A671" s="19">
        <v>45613.0</v>
      </c>
      <c r="B671" s="16" t="s">
        <v>14</v>
      </c>
      <c r="C671" s="16" t="str">
        <f t="shared" si="1"/>
        <v>Bogotá</v>
      </c>
      <c r="D671" s="16" t="str">
        <f t="shared" si="2"/>
        <v>Bogotá</v>
      </c>
      <c r="E671" s="16" t="str">
        <f t="shared" si="3"/>
        <v>Bogotá</v>
      </c>
      <c r="F671" s="16" t="s">
        <v>10</v>
      </c>
      <c r="G671" s="17" t="str">
        <f>IFERROR(__xludf.DUMMYFUNCTION("SPLIT(F671:F1670,""-"") "),"Tablet")</f>
        <v>Tablet</v>
      </c>
      <c r="H671" s="16" t="str">
        <f>IFERROR(__xludf.DUMMYFUNCTION("""COMPUTED_VALUE"""),"Estándar")</f>
        <v>Estándar</v>
      </c>
      <c r="I671" s="16" t="str">
        <f>IFERROR(__xludf.DUMMYFUNCTION("""COMPUTED_VALUE"""),"8GB")</f>
        <v>8GB</v>
      </c>
      <c r="J671" s="18">
        <v>2142.82</v>
      </c>
      <c r="K671" s="16">
        <v>2.0</v>
      </c>
      <c r="L671" s="18">
        <v>4285.64</v>
      </c>
      <c r="M671" s="16" t="s">
        <v>1215</v>
      </c>
      <c r="N671" s="16" t="s">
        <v>1216</v>
      </c>
      <c r="O671" s="16" t="s">
        <v>1217</v>
      </c>
    </row>
    <row r="672" ht="15.75" customHeight="1">
      <c r="A672" s="19">
        <v>45621.0</v>
      </c>
      <c r="B672" s="16" t="s">
        <v>9</v>
      </c>
      <c r="C672" s="16" t="str">
        <f t="shared" si="1"/>
        <v>Monterrey</v>
      </c>
      <c r="D672" s="16" t="str">
        <f t="shared" si="2"/>
        <v>Monterrey</v>
      </c>
      <c r="E672" s="16" t="str">
        <f t="shared" si="3"/>
        <v>Monterrey</v>
      </c>
      <c r="F672" s="16" t="s">
        <v>117</v>
      </c>
      <c r="G672" s="17" t="str">
        <f>IFERROR(__xludf.DUMMYFUNCTION("SPLIT(F672:F1671,""-"") "),"Teléfono")</f>
        <v>Teléfono</v>
      </c>
      <c r="H672" s="16" t="str">
        <f>IFERROR(__xludf.DUMMYFUNCTION("""COMPUTED_VALUE"""),"Gama baja")</f>
        <v>Gama baja</v>
      </c>
      <c r="I672" s="16" t="str">
        <f>IFERROR(__xludf.DUMMYFUNCTION("""COMPUTED_VALUE"""),"16GB")</f>
        <v>16GB</v>
      </c>
      <c r="J672" s="18">
        <v>1083.45</v>
      </c>
      <c r="K672" s="16">
        <v>5.0</v>
      </c>
      <c r="L672" s="18">
        <v>5417.25</v>
      </c>
      <c r="M672" s="16" t="s">
        <v>1490</v>
      </c>
      <c r="N672" s="16" t="s">
        <v>1491</v>
      </c>
      <c r="O672" s="16" t="s">
        <v>1492</v>
      </c>
    </row>
    <row r="673" ht="15.75" customHeight="1">
      <c r="A673" s="23">
        <v>45546.0</v>
      </c>
      <c r="B673" s="16" t="s">
        <v>75</v>
      </c>
      <c r="C673" s="16" t="str">
        <f t="shared" si="1"/>
        <v>Cali</v>
      </c>
      <c r="D673" s="16" t="str">
        <f t="shared" si="2"/>
        <v>Cali</v>
      </c>
      <c r="E673" s="16" t="str">
        <f t="shared" si="3"/>
        <v>Cali</v>
      </c>
      <c r="F673" s="16" t="s">
        <v>167</v>
      </c>
      <c r="G673" s="17" t="str">
        <f>IFERROR(__xludf.DUMMYFUNCTION("SPLIT(F673:F1672,""-"") "),"Auriculares")</f>
        <v>Auriculares</v>
      </c>
      <c r="H673" s="16" t="str">
        <f>IFERROR(__xludf.DUMMYFUNCTION("""COMPUTED_VALUE"""),"Bluetooth")</f>
        <v>Bluetooth</v>
      </c>
      <c r="I673" s="16" t="str">
        <f>IFERROR(__xludf.DUMMYFUNCTION("""COMPUTED_VALUE"""),"32GB")</f>
        <v>32GB</v>
      </c>
      <c r="J673" s="18">
        <v>927.31</v>
      </c>
      <c r="K673" s="16">
        <v>2.0</v>
      </c>
      <c r="L673" s="18">
        <v>1854.62</v>
      </c>
      <c r="M673" s="16" t="s">
        <v>2860</v>
      </c>
      <c r="N673" s="16" t="s">
        <v>2861</v>
      </c>
      <c r="O673" s="16" t="s">
        <v>2862</v>
      </c>
    </row>
    <row r="674" ht="15.75" customHeight="1">
      <c r="A674" s="19">
        <v>45582.0</v>
      </c>
      <c r="B674" s="16" t="s">
        <v>2359</v>
      </c>
      <c r="C674" s="16" t="str">
        <f t="shared" si="1"/>
        <v>Ciudad De M√©Xico</v>
      </c>
      <c r="D674" s="16" t="str">
        <f t="shared" si="2"/>
        <v>Ciudad De M√©Xico</v>
      </c>
      <c r="E674" s="16" t="str">
        <f t="shared" si="3"/>
        <v>Ciudad De MéXico</v>
      </c>
      <c r="F674" s="16" t="s">
        <v>373</v>
      </c>
      <c r="G674" s="17" t="str">
        <f>IFERROR(__xludf.DUMMYFUNCTION("SPLIT(F674:F1673,""-"") "),"Teléfono")</f>
        <v>Teléfono</v>
      </c>
      <c r="H674" s="16" t="str">
        <f>IFERROR(__xludf.DUMMYFUNCTION("""COMPUTED_VALUE"""),"Gama media")</f>
        <v>Gama media</v>
      </c>
      <c r="I674" s="16" t="str">
        <f>IFERROR(__xludf.DUMMYFUNCTION("""COMPUTED_VALUE"""),"16GB")</f>
        <v>16GB</v>
      </c>
      <c r="J674" s="18">
        <v>2392.27</v>
      </c>
      <c r="K674" s="16">
        <v>4.0</v>
      </c>
      <c r="L674" s="18">
        <v>9569.08</v>
      </c>
      <c r="M674" s="16" t="s">
        <v>374</v>
      </c>
      <c r="N674" s="16" t="s">
        <v>375</v>
      </c>
      <c r="O674" s="16" t="s">
        <v>376</v>
      </c>
    </row>
    <row r="675" ht="15.75" customHeight="1">
      <c r="A675" s="19">
        <v>45613.0</v>
      </c>
      <c r="B675" s="16" t="s">
        <v>58</v>
      </c>
      <c r="C675" s="16" t="str">
        <f t="shared" si="1"/>
        <v>Guadalajara</v>
      </c>
      <c r="D675" s="16" t="str">
        <f t="shared" si="2"/>
        <v>Guadalajara</v>
      </c>
      <c r="E675" s="16" t="str">
        <f t="shared" si="3"/>
        <v>Guadalajara</v>
      </c>
      <c r="F675" s="16" t="s">
        <v>121</v>
      </c>
      <c r="G675" s="17" t="str">
        <f>IFERROR(__xludf.DUMMYFUNCTION("SPLIT(F675:F1674,""-"") "),"Teléfono")</f>
        <v>Teléfono</v>
      </c>
      <c r="H675" s="16" t="str">
        <f>IFERROR(__xludf.DUMMYFUNCTION("""COMPUTED_VALUE"""),"Gama alta")</f>
        <v>Gama alta</v>
      </c>
      <c r="I675" s="16" t="str">
        <f>IFERROR(__xludf.DUMMYFUNCTION("""COMPUTED_VALUE"""),"8GB")</f>
        <v>8GB</v>
      </c>
      <c r="J675" s="18">
        <v>219.68</v>
      </c>
      <c r="K675" s="16">
        <v>4.0</v>
      </c>
      <c r="L675" s="18">
        <v>878.72</v>
      </c>
      <c r="M675" s="16" t="s">
        <v>1218</v>
      </c>
      <c r="N675" s="16" t="s">
        <v>1219</v>
      </c>
      <c r="O675" s="16" t="s">
        <v>1220</v>
      </c>
    </row>
    <row r="676" ht="15.75" customHeight="1">
      <c r="A676" s="19">
        <v>45610.0</v>
      </c>
      <c r="B676" s="16" t="s">
        <v>14</v>
      </c>
      <c r="C676" s="16" t="str">
        <f t="shared" si="1"/>
        <v>Bogotá</v>
      </c>
      <c r="D676" s="16" t="str">
        <f t="shared" si="2"/>
        <v>Bogotá</v>
      </c>
      <c r="E676" s="16" t="str">
        <f t="shared" si="3"/>
        <v>Bogotá</v>
      </c>
      <c r="F676" s="16" t="s">
        <v>132</v>
      </c>
      <c r="G676" s="17" t="str">
        <f>IFERROR(__xludf.DUMMYFUNCTION("SPLIT(F676:F1675,""-"") "),"Tablet")</f>
        <v>Tablet</v>
      </c>
      <c r="H676" s="16" t="str">
        <f>IFERROR(__xludf.DUMMYFUNCTION("""COMPUTED_VALUE"""),"Pro")</f>
        <v>Pro</v>
      </c>
      <c r="I676" s="16" t="str">
        <f>IFERROR(__xludf.DUMMYFUNCTION("""COMPUTED_VALUE"""),"8GB")</f>
        <v>8GB</v>
      </c>
      <c r="J676" s="18">
        <v>563.11</v>
      </c>
      <c r="K676" s="16">
        <v>1.0</v>
      </c>
      <c r="L676" s="18">
        <v>563.11</v>
      </c>
      <c r="M676" s="16" t="s">
        <v>1094</v>
      </c>
      <c r="N676" s="16" t="s">
        <v>1095</v>
      </c>
      <c r="O676" s="16" t="s">
        <v>1096</v>
      </c>
    </row>
    <row r="677" ht="15.75" customHeight="1">
      <c r="A677" s="19">
        <v>45613.0</v>
      </c>
      <c r="B677" s="16" t="s">
        <v>2359</v>
      </c>
      <c r="C677" s="16" t="str">
        <f t="shared" si="1"/>
        <v>Ciudad De M√©Xico</v>
      </c>
      <c r="D677" s="16" t="str">
        <f t="shared" si="2"/>
        <v>Ciudad De M√©Xico</v>
      </c>
      <c r="E677" s="16" t="str">
        <f t="shared" si="3"/>
        <v>Ciudad De MéXico</v>
      </c>
      <c r="F677" s="16" t="s">
        <v>344</v>
      </c>
      <c r="G677" s="17" t="str">
        <f>IFERROR(__xludf.DUMMYFUNCTION("SPLIT(F677:F1676,""-"") "),"Laptop")</f>
        <v>Laptop</v>
      </c>
      <c r="H677" s="16" t="str">
        <f>IFERROR(__xludf.DUMMYFUNCTION("""COMPUTED_VALUE"""),"Ultraliviana")</f>
        <v>Ultraliviana</v>
      </c>
      <c r="I677" s="16" t="str">
        <f>IFERROR(__xludf.DUMMYFUNCTION("""COMPUTED_VALUE"""),"8GB")</f>
        <v>8GB</v>
      </c>
      <c r="J677" s="18">
        <v>2269.51</v>
      </c>
      <c r="K677" s="16">
        <v>3.0</v>
      </c>
      <c r="L677" s="18">
        <v>6808.53</v>
      </c>
      <c r="M677" s="16" t="s">
        <v>1221</v>
      </c>
      <c r="N677" s="16" t="s">
        <v>1222</v>
      </c>
      <c r="O677" s="16" t="s">
        <v>1223</v>
      </c>
    </row>
    <row r="678" ht="15.75" customHeight="1">
      <c r="A678" s="19">
        <v>45617.0</v>
      </c>
      <c r="B678" s="16" t="s">
        <v>9</v>
      </c>
      <c r="C678" s="16" t="str">
        <f t="shared" si="1"/>
        <v>Monterrey</v>
      </c>
      <c r="D678" s="16" t="str">
        <f t="shared" si="2"/>
        <v>Monterrey</v>
      </c>
      <c r="E678" s="16" t="str">
        <f t="shared" si="3"/>
        <v>Monterrey</v>
      </c>
      <c r="F678" s="16" t="s">
        <v>344</v>
      </c>
      <c r="G678" s="17" t="str">
        <f>IFERROR(__xludf.DUMMYFUNCTION("SPLIT(F678:F1677,""-"") "),"Laptop")</f>
        <v>Laptop</v>
      </c>
      <c r="H678" s="16" t="str">
        <f>IFERROR(__xludf.DUMMYFUNCTION("""COMPUTED_VALUE"""),"Ultraliviana")</f>
        <v>Ultraliviana</v>
      </c>
      <c r="I678" s="16" t="str">
        <f>IFERROR(__xludf.DUMMYFUNCTION("""COMPUTED_VALUE"""),"8GB")</f>
        <v>8GB</v>
      </c>
      <c r="J678" s="18">
        <v>299.66</v>
      </c>
      <c r="K678" s="16">
        <v>3.0</v>
      </c>
      <c r="L678" s="18">
        <v>898.98</v>
      </c>
      <c r="M678" s="16" t="s">
        <v>1350</v>
      </c>
      <c r="N678" s="16" t="s">
        <v>1351</v>
      </c>
      <c r="O678" s="16" t="s">
        <v>1352</v>
      </c>
    </row>
    <row r="679" ht="15.75" customHeight="1">
      <c r="A679" s="23">
        <v>45485.0</v>
      </c>
      <c r="B679" s="16" t="s">
        <v>14</v>
      </c>
      <c r="C679" s="16" t="str">
        <f t="shared" si="1"/>
        <v>Bogotá</v>
      </c>
      <c r="D679" s="16" t="str">
        <f t="shared" si="2"/>
        <v>Bogotá</v>
      </c>
      <c r="E679" s="16" t="str">
        <f t="shared" si="3"/>
        <v>Bogotá</v>
      </c>
      <c r="F679" s="16" t="s">
        <v>121</v>
      </c>
      <c r="G679" s="17" t="str">
        <f>IFERROR(__xludf.DUMMYFUNCTION("SPLIT(F679:F1678,""-"") "),"Teléfono")</f>
        <v>Teléfono</v>
      </c>
      <c r="H679" s="16" t="str">
        <f>IFERROR(__xludf.DUMMYFUNCTION("""COMPUTED_VALUE"""),"Gama alta")</f>
        <v>Gama alta</v>
      </c>
      <c r="I679" s="16" t="str">
        <f>IFERROR(__xludf.DUMMYFUNCTION("""COMPUTED_VALUE"""),"8GB")</f>
        <v>8GB</v>
      </c>
      <c r="J679" s="18">
        <v>2139.42</v>
      </c>
      <c r="K679" s="16">
        <v>4.0</v>
      </c>
      <c r="L679" s="18">
        <v>8557.68</v>
      </c>
      <c r="M679" s="16" t="s">
        <v>2863</v>
      </c>
      <c r="N679" s="16" t="s">
        <v>2864</v>
      </c>
      <c r="O679" s="16" t="s">
        <v>2865</v>
      </c>
    </row>
    <row r="680" ht="15.75" customHeight="1">
      <c r="A680" s="19">
        <v>45639.0</v>
      </c>
      <c r="B680" s="16" t="s">
        <v>58</v>
      </c>
      <c r="C680" s="16" t="str">
        <f t="shared" si="1"/>
        <v>Guadalajara</v>
      </c>
      <c r="D680" s="16" t="str">
        <f t="shared" si="2"/>
        <v>Guadalajara</v>
      </c>
      <c r="E680" s="16" t="str">
        <f t="shared" si="3"/>
        <v>Guadalajara</v>
      </c>
      <c r="F680" s="16" t="s">
        <v>255</v>
      </c>
      <c r="G680" s="17" t="str">
        <f>IFERROR(__xludf.DUMMYFUNCTION("SPLIT(F680:F1679,""-"") "),"Auriculares")</f>
        <v>Auriculares</v>
      </c>
      <c r="H680" s="16" t="str">
        <f>IFERROR(__xludf.DUMMYFUNCTION("""COMPUTED_VALUE"""),"Bluetooth")</f>
        <v>Bluetooth</v>
      </c>
      <c r="I680" s="16" t="str">
        <f>IFERROR(__xludf.DUMMYFUNCTION("""COMPUTED_VALUE"""),"8GB")</f>
        <v>8GB</v>
      </c>
      <c r="J680" s="18">
        <v>1164.16</v>
      </c>
      <c r="K680" s="16">
        <v>4.0</v>
      </c>
      <c r="L680" s="18">
        <v>4656.64</v>
      </c>
      <c r="M680" s="16" t="s">
        <v>1815</v>
      </c>
      <c r="N680" s="16" t="s">
        <v>1816</v>
      </c>
      <c r="O680" s="16" t="s">
        <v>1817</v>
      </c>
    </row>
    <row r="681" ht="15.75" customHeight="1">
      <c r="A681" s="23">
        <v>45454.0</v>
      </c>
      <c r="B681" s="16" t="s">
        <v>2359</v>
      </c>
      <c r="C681" s="16" t="str">
        <f t="shared" si="1"/>
        <v>Ciudad De M√©Xico</v>
      </c>
      <c r="D681" s="16" t="str">
        <f t="shared" si="2"/>
        <v>Ciudad De M√©Xico</v>
      </c>
      <c r="E681" s="16" t="str">
        <f t="shared" si="3"/>
        <v>Ciudad De MéXico</v>
      </c>
      <c r="F681" s="16" t="s">
        <v>71</v>
      </c>
      <c r="G681" s="17" t="str">
        <f>IFERROR(__xludf.DUMMYFUNCTION("SPLIT(F681:F1680,""-"") "),"Auriculares")</f>
        <v>Auriculares</v>
      </c>
      <c r="H681" s="16" t="str">
        <f>IFERROR(__xludf.DUMMYFUNCTION("""COMPUTED_VALUE"""),"Bluetooth")</f>
        <v>Bluetooth</v>
      </c>
      <c r="I681" s="16" t="str">
        <f>IFERROR(__xludf.DUMMYFUNCTION("""COMPUTED_VALUE"""),"16GB")</f>
        <v>16GB</v>
      </c>
      <c r="J681" s="18">
        <v>2202.87</v>
      </c>
      <c r="K681" s="16">
        <v>5.0</v>
      </c>
      <c r="L681" s="18">
        <v>11014.35</v>
      </c>
      <c r="M681" s="16" t="s">
        <v>2866</v>
      </c>
      <c r="N681" s="16" t="s">
        <v>2867</v>
      </c>
      <c r="O681" s="16" t="s">
        <v>2868</v>
      </c>
    </row>
    <row r="682" ht="15.75" customHeight="1">
      <c r="A682" s="23">
        <v>45483.0</v>
      </c>
      <c r="B682" s="16" t="s">
        <v>75</v>
      </c>
      <c r="C682" s="16" t="str">
        <f t="shared" si="1"/>
        <v>Cali</v>
      </c>
      <c r="D682" s="16" t="str">
        <f t="shared" si="2"/>
        <v>Cali</v>
      </c>
      <c r="E682" s="16" t="str">
        <f t="shared" si="3"/>
        <v>Cali</v>
      </c>
      <c r="F682" s="16" t="s">
        <v>163</v>
      </c>
      <c r="G682" s="17" t="str">
        <f>IFERROR(__xludf.DUMMYFUNCTION("SPLIT(F682:F1681,""-"") "),"Laptop")</f>
        <v>Laptop</v>
      </c>
      <c r="H682" s="16" t="str">
        <f>IFERROR(__xludf.DUMMYFUNCTION("""COMPUTED_VALUE"""),"Oficina")</f>
        <v>Oficina</v>
      </c>
      <c r="I682" s="16" t="str">
        <f>IFERROR(__xludf.DUMMYFUNCTION("""COMPUTED_VALUE"""),"32GB")</f>
        <v>32GB</v>
      </c>
      <c r="J682" s="18">
        <v>386.85</v>
      </c>
      <c r="K682" s="16">
        <v>2.0</v>
      </c>
      <c r="L682" s="18">
        <v>773.7</v>
      </c>
      <c r="M682" s="16" t="s">
        <v>2869</v>
      </c>
      <c r="N682" s="16" t="s">
        <v>2870</v>
      </c>
      <c r="O682" s="16" t="s">
        <v>2871</v>
      </c>
    </row>
    <row r="683" ht="15.75" customHeight="1">
      <c r="A683" s="19">
        <v>45647.0</v>
      </c>
      <c r="B683" s="16" t="s">
        <v>2359</v>
      </c>
      <c r="C683" s="16" t="str">
        <f t="shared" si="1"/>
        <v>Ciudad De M√©Xico</v>
      </c>
      <c r="D683" s="16" t="str">
        <f t="shared" si="2"/>
        <v>Ciudad De M√©Xico</v>
      </c>
      <c r="E683" s="16" t="str">
        <f t="shared" si="3"/>
        <v>Ciudad De MéXico</v>
      </c>
      <c r="F683" s="16" t="s">
        <v>132</v>
      </c>
      <c r="G683" s="17" t="str">
        <f>IFERROR(__xludf.DUMMYFUNCTION("SPLIT(F683:F1682,""-"") "),"Tablet")</f>
        <v>Tablet</v>
      </c>
      <c r="H683" s="16" t="str">
        <f>IFERROR(__xludf.DUMMYFUNCTION("""COMPUTED_VALUE"""),"Pro")</f>
        <v>Pro</v>
      </c>
      <c r="I683" s="16" t="str">
        <f>IFERROR(__xludf.DUMMYFUNCTION("""COMPUTED_VALUE"""),"8GB")</f>
        <v>8GB</v>
      </c>
      <c r="J683" s="18">
        <v>2461.26</v>
      </c>
      <c r="K683" s="16">
        <v>3.0</v>
      </c>
      <c r="L683" s="18">
        <v>7383.78</v>
      </c>
      <c r="M683" s="16" t="s">
        <v>2054</v>
      </c>
      <c r="N683" s="16" t="s">
        <v>2055</v>
      </c>
      <c r="O683" s="16" t="s">
        <v>2056</v>
      </c>
    </row>
    <row r="684" ht="15.75" customHeight="1">
      <c r="A684" s="23">
        <v>45301.0</v>
      </c>
      <c r="B684" s="16" t="s">
        <v>75</v>
      </c>
      <c r="C684" s="16" t="str">
        <f t="shared" si="1"/>
        <v>Cali</v>
      </c>
      <c r="D684" s="16" t="str">
        <f t="shared" si="2"/>
        <v>Cali</v>
      </c>
      <c r="E684" s="16" t="str">
        <f t="shared" si="3"/>
        <v>Cali</v>
      </c>
      <c r="F684" s="16" t="s">
        <v>389</v>
      </c>
      <c r="G684" s="17" t="str">
        <f>IFERROR(__xludf.DUMMYFUNCTION("SPLIT(F684:F1683,""-"") "),"Auriculares")</f>
        <v>Auriculares</v>
      </c>
      <c r="H684" s="16" t="str">
        <f>IFERROR(__xludf.DUMMYFUNCTION("""COMPUTED_VALUE"""),"Cancelación de ruido")</f>
        <v>Cancelación de ruido</v>
      </c>
      <c r="I684" s="16" t="str">
        <f>IFERROR(__xludf.DUMMYFUNCTION("""COMPUTED_VALUE"""),"4GB")</f>
        <v>4GB</v>
      </c>
      <c r="J684" s="18">
        <v>469.22</v>
      </c>
      <c r="K684" s="16">
        <v>1.0</v>
      </c>
      <c r="L684" s="18">
        <v>469.22</v>
      </c>
      <c r="M684" s="16" t="s">
        <v>2872</v>
      </c>
      <c r="N684" s="16" t="s">
        <v>2873</v>
      </c>
      <c r="O684" s="16" t="s">
        <v>2874</v>
      </c>
    </row>
    <row r="685" ht="15.75" customHeight="1">
      <c r="A685" s="23">
        <v>45607.0</v>
      </c>
      <c r="B685" s="16" t="s">
        <v>35</v>
      </c>
      <c r="C685" s="16" t="str">
        <f t="shared" si="1"/>
        <v>Medellín</v>
      </c>
      <c r="D685" s="16" t="str">
        <f t="shared" si="2"/>
        <v>Medellín</v>
      </c>
      <c r="E685" s="16" t="str">
        <f t="shared" si="3"/>
        <v>Medellín</v>
      </c>
      <c r="F685" s="16" t="s">
        <v>233</v>
      </c>
      <c r="G685" s="17" t="str">
        <f>IFERROR(__xludf.DUMMYFUNCTION("SPLIT(F685:F1684,""-"") "),"Tablet")</f>
        <v>Tablet</v>
      </c>
      <c r="H685" s="16" t="str">
        <f>IFERROR(__xludf.DUMMYFUNCTION("""COMPUTED_VALUE"""),"Mini")</f>
        <v>Mini</v>
      </c>
      <c r="I685" s="16" t="str">
        <f>IFERROR(__xludf.DUMMYFUNCTION("""COMPUTED_VALUE"""),"16GB")</f>
        <v>16GB</v>
      </c>
      <c r="J685" s="18">
        <v>499.69</v>
      </c>
      <c r="K685" s="16">
        <v>1.0</v>
      </c>
      <c r="L685" s="18">
        <v>499.69</v>
      </c>
      <c r="M685" s="16" t="s">
        <v>990</v>
      </c>
      <c r="N685" s="16" t="s">
        <v>991</v>
      </c>
      <c r="O685" s="16" t="s">
        <v>992</v>
      </c>
    </row>
    <row r="686" ht="15.75" customHeight="1">
      <c r="A686" s="19">
        <v>45593.0</v>
      </c>
      <c r="B686" s="16" t="s">
        <v>14</v>
      </c>
      <c r="C686" s="16" t="str">
        <f t="shared" si="1"/>
        <v>Bogotá</v>
      </c>
      <c r="D686" s="16" t="str">
        <f t="shared" si="2"/>
        <v>Bogotá</v>
      </c>
      <c r="E686" s="16" t="str">
        <f t="shared" si="3"/>
        <v>Bogotá</v>
      </c>
      <c r="F686" s="16" t="s">
        <v>132</v>
      </c>
      <c r="G686" s="17" t="str">
        <f>IFERROR(__xludf.DUMMYFUNCTION("SPLIT(F686:F1685,""-"") "),"Tablet")</f>
        <v>Tablet</v>
      </c>
      <c r="H686" s="16" t="str">
        <f>IFERROR(__xludf.DUMMYFUNCTION("""COMPUTED_VALUE"""),"Pro")</f>
        <v>Pro</v>
      </c>
      <c r="I686" s="16" t="str">
        <f>IFERROR(__xludf.DUMMYFUNCTION("""COMPUTED_VALUE"""),"8GB")</f>
        <v>8GB</v>
      </c>
      <c r="J686" s="18">
        <v>2493.45</v>
      </c>
      <c r="K686" s="16">
        <v>2.0</v>
      </c>
      <c r="L686" s="18">
        <v>4986.9</v>
      </c>
      <c r="M686" s="16" t="s">
        <v>715</v>
      </c>
      <c r="N686" s="16" t="s">
        <v>716</v>
      </c>
      <c r="O686" s="16" t="s">
        <v>717</v>
      </c>
    </row>
    <row r="687" ht="15.75" customHeight="1">
      <c r="A687" s="19">
        <v>45617.0</v>
      </c>
      <c r="B687" s="16" t="s">
        <v>75</v>
      </c>
      <c r="C687" s="16" t="str">
        <f t="shared" si="1"/>
        <v>Cali</v>
      </c>
      <c r="D687" s="16" t="str">
        <f t="shared" si="2"/>
        <v>Cali</v>
      </c>
      <c r="E687" s="16" t="str">
        <f t="shared" si="3"/>
        <v>Cali</v>
      </c>
      <c r="F687" s="16" t="s">
        <v>229</v>
      </c>
      <c r="G687" s="17" t="str">
        <f>IFERROR(__xludf.DUMMYFUNCTION("SPLIT(F687:F1686,""-"") "),"Laptop")</f>
        <v>Laptop</v>
      </c>
      <c r="H687" s="16" t="str">
        <f>IFERROR(__xludf.DUMMYFUNCTION("""COMPUTED_VALUE"""),"Oficina")</f>
        <v>Oficina</v>
      </c>
      <c r="I687" s="16" t="str">
        <f>IFERROR(__xludf.DUMMYFUNCTION("""COMPUTED_VALUE"""),"4GB")</f>
        <v>4GB</v>
      </c>
      <c r="J687" s="18">
        <v>510.78</v>
      </c>
      <c r="K687" s="16">
        <v>3.0</v>
      </c>
      <c r="L687" s="18">
        <v>1532.34</v>
      </c>
      <c r="M687" s="16" t="s">
        <v>1353</v>
      </c>
      <c r="N687" s="16" t="s">
        <v>1354</v>
      </c>
      <c r="O687" s="16" t="s">
        <v>1355</v>
      </c>
    </row>
    <row r="688" ht="15.75" customHeight="1">
      <c r="A688" s="19">
        <v>45615.0</v>
      </c>
      <c r="B688" s="16" t="s">
        <v>35</v>
      </c>
      <c r="C688" s="16" t="str">
        <f t="shared" si="1"/>
        <v>Medellín</v>
      </c>
      <c r="D688" s="16" t="str">
        <f t="shared" si="2"/>
        <v>Medellín</v>
      </c>
      <c r="E688" s="16" t="str">
        <f t="shared" si="3"/>
        <v>Medellín</v>
      </c>
      <c r="F688" s="16" t="s">
        <v>85</v>
      </c>
      <c r="G688" s="17" t="str">
        <f>IFERROR(__xludf.DUMMYFUNCTION("SPLIT(F688:F1687,""-"") "),"Teléfono")</f>
        <v>Teléfono</v>
      </c>
      <c r="H688" s="16" t="str">
        <f>IFERROR(__xludf.DUMMYFUNCTION("""COMPUTED_VALUE"""),"Gama media")</f>
        <v>Gama media</v>
      </c>
      <c r="I688" s="16" t="str">
        <f>IFERROR(__xludf.DUMMYFUNCTION("""COMPUTED_VALUE"""),"32GB")</f>
        <v>32GB</v>
      </c>
      <c r="J688" s="18">
        <v>221.44</v>
      </c>
      <c r="K688" s="16">
        <v>3.0</v>
      </c>
      <c r="L688" s="18">
        <v>664.32</v>
      </c>
      <c r="M688" s="16" t="s">
        <v>1281</v>
      </c>
      <c r="N688" s="16" t="s">
        <v>1282</v>
      </c>
      <c r="O688" s="16" t="s">
        <v>1283</v>
      </c>
    </row>
    <row r="689" ht="15.75" customHeight="1">
      <c r="A689" s="19">
        <v>45609.0</v>
      </c>
      <c r="B689" s="16" t="s">
        <v>35</v>
      </c>
      <c r="C689" s="16" t="str">
        <f t="shared" si="1"/>
        <v>Medellín</v>
      </c>
      <c r="D689" s="16" t="str">
        <f t="shared" si="2"/>
        <v>Medellín</v>
      </c>
      <c r="E689" s="16" t="str">
        <f t="shared" si="3"/>
        <v>Medellín</v>
      </c>
      <c r="F689" s="16" t="s">
        <v>430</v>
      </c>
      <c r="G689" s="17" t="str">
        <f>IFERROR(__xludf.DUMMYFUNCTION("SPLIT(F689:F1688,""-"") "),"Teléfono")</f>
        <v>Teléfono</v>
      </c>
      <c r="H689" s="16" t="str">
        <f>IFERROR(__xludf.DUMMYFUNCTION("""COMPUTED_VALUE"""),"Gama alta")</f>
        <v>Gama alta</v>
      </c>
      <c r="I689" s="16" t="str">
        <f>IFERROR(__xludf.DUMMYFUNCTION("""COMPUTED_VALUE"""),"4GB")</f>
        <v>4GB</v>
      </c>
      <c r="J689" s="18">
        <v>1177.91</v>
      </c>
      <c r="K689" s="16">
        <v>2.0</v>
      </c>
      <c r="L689" s="18">
        <v>2355.82</v>
      </c>
      <c r="M689" s="16" t="s">
        <v>1066</v>
      </c>
      <c r="N689" s="16" t="s">
        <v>1067</v>
      </c>
      <c r="O689" s="16" t="s">
        <v>1068</v>
      </c>
    </row>
    <row r="690" ht="15.75" customHeight="1">
      <c r="A690" s="23">
        <v>45393.0</v>
      </c>
      <c r="B690" s="16" t="s">
        <v>14</v>
      </c>
      <c r="C690" s="16" t="str">
        <f t="shared" si="1"/>
        <v>Bogotá</v>
      </c>
      <c r="D690" s="16" t="str">
        <f t="shared" si="2"/>
        <v>Bogotá</v>
      </c>
      <c r="E690" s="16" t="str">
        <f t="shared" si="3"/>
        <v>Bogotá</v>
      </c>
      <c r="F690" s="16" t="s">
        <v>389</v>
      </c>
      <c r="G690" s="17" t="str">
        <f>IFERROR(__xludf.DUMMYFUNCTION("SPLIT(F690:F1689,""-"") "),"Auriculares")</f>
        <v>Auriculares</v>
      </c>
      <c r="H690" s="16" t="str">
        <f>IFERROR(__xludf.DUMMYFUNCTION("""COMPUTED_VALUE"""),"Cancelación de ruido")</f>
        <v>Cancelación de ruido</v>
      </c>
      <c r="I690" s="16" t="str">
        <f>IFERROR(__xludf.DUMMYFUNCTION("""COMPUTED_VALUE"""),"4GB")</f>
        <v>4GB</v>
      </c>
      <c r="J690" s="18">
        <v>2100.59</v>
      </c>
      <c r="K690" s="16">
        <v>2.0</v>
      </c>
      <c r="L690" s="18">
        <v>4201.18</v>
      </c>
      <c r="M690" s="16" t="s">
        <v>2875</v>
      </c>
      <c r="N690" s="16" t="s">
        <v>2876</v>
      </c>
      <c r="O690" s="16" t="s">
        <v>2877</v>
      </c>
    </row>
    <row r="691" ht="15.75" customHeight="1">
      <c r="A691" s="19">
        <v>45579.0</v>
      </c>
      <c r="B691" s="16" t="s">
        <v>14</v>
      </c>
      <c r="C691" s="16" t="str">
        <f t="shared" si="1"/>
        <v>Bogotá</v>
      </c>
      <c r="D691" s="16" t="str">
        <f t="shared" si="2"/>
        <v>Bogotá</v>
      </c>
      <c r="E691" s="16" t="str">
        <f t="shared" si="3"/>
        <v>Bogotá</v>
      </c>
      <c r="F691" s="16" t="s">
        <v>63</v>
      </c>
      <c r="G691" s="17" t="str">
        <f>IFERROR(__xludf.DUMMYFUNCTION("SPLIT(F691:F1690,""-"") "),"Laptop")</f>
        <v>Laptop</v>
      </c>
      <c r="H691" s="16" t="str">
        <f>IFERROR(__xludf.DUMMYFUNCTION("""COMPUTED_VALUE"""),"Ultraliviana")</f>
        <v>Ultraliviana</v>
      </c>
      <c r="I691" s="16" t="str">
        <f>IFERROR(__xludf.DUMMYFUNCTION("""COMPUTED_VALUE"""),"4GB")</f>
        <v>4GB</v>
      </c>
      <c r="J691" s="18">
        <v>302.84</v>
      </c>
      <c r="K691" s="16">
        <v>3.0</v>
      </c>
      <c r="L691" s="18">
        <v>908.52</v>
      </c>
      <c r="M691" s="16" t="s">
        <v>237</v>
      </c>
      <c r="N691" s="16" t="s">
        <v>238</v>
      </c>
      <c r="O691" s="16" t="s">
        <v>239</v>
      </c>
    </row>
    <row r="692" ht="15.75" customHeight="1">
      <c r="A692" s="19">
        <v>45583.0</v>
      </c>
      <c r="B692" s="16" t="s">
        <v>2359</v>
      </c>
      <c r="C692" s="16" t="str">
        <f t="shared" si="1"/>
        <v>Ciudad De M√©Xico</v>
      </c>
      <c r="D692" s="16" t="str">
        <f t="shared" si="2"/>
        <v>Ciudad De M√©Xico</v>
      </c>
      <c r="E692" s="16" t="str">
        <f t="shared" si="3"/>
        <v>Ciudad De MéXico</v>
      </c>
      <c r="F692" s="16" t="s">
        <v>10</v>
      </c>
      <c r="G692" s="17" t="str">
        <f>IFERROR(__xludf.DUMMYFUNCTION("SPLIT(F692:F1691,""-"") "),"Tablet")</f>
        <v>Tablet</v>
      </c>
      <c r="H692" s="16" t="str">
        <f>IFERROR(__xludf.DUMMYFUNCTION("""COMPUTED_VALUE"""),"Estándar")</f>
        <v>Estándar</v>
      </c>
      <c r="I692" s="16" t="str">
        <f>IFERROR(__xludf.DUMMYFUNCTION("""COMPUTED_VALUE"""),"8GB")</f>
        <v>8GB</v>
      </c>
      <c r="J692" s="18">
        <v>2431.8</v>
      </c>
      <c r="K692" s="16">
        <v>2.0</v>
      </c>
      <c r="L692" s="18">
        <v>4863.6</v>
      </c>
      <c r="M692" s="16" t="s">
        <v>412</v>
      </c>
      <c r="N692" s="16" t="s">
        <v>413</v>
      </c>
      <c r="O692" s="16" t="s">
        <v>414</v>
      </c>
    </row>
    <row r="693" ht="15.75" customHeight="1">
      <c r="A693" s="19">
        <v>45621.0</v>
      </c>
      <c r="B693" s="16" t="s">
        <v>14</v>
      </c>
      <c r="C693" s="16" t="str">
        <f t="shared" si="1"/>
        <v>Bogotá</v>
      </c>
      <c r="D693" s="16" t="str">
        <f t="shared" si="2"/>
        <v>Bogotá</v>
      </c>
      <c r="E693" s="16" t="str">
        <f t="shared" si="3"/>
        <v>Bogotá</v>
      </c>
      <c r="F693" s="16" t="s">
        <v>182</v>
      </c>
      <c r="G693" s="17" t="str">
        <f>IFERROR(__xludf.DUMMYFUNCTION("SPLIT(F693:F1692,""-"") "),"Tablet")</f>
        <v>Tablet</v>
      </c>
      <c r="H693" s="16" t="str">
        <f>IFERROR(__xludf.DUMMYFUNCTION("""COMPUTED_VALUE"""),"Mini")</f>
        <v>Mini</v>
      </c>
      <c r="I693" s="16" t="str">
        <f>IFERROR(__xludf.DUMMYFUNCTION("""COMPUTED_VALUE"""),"4GB")</f>
        <v>4GB</v>
      </c>
      <c r="J693" s="18">
        <v>2488.53</v>
      </c>
      <c r="K693" s="16">
        <v>1.0</v>
      </c>
      <c r="L693" s="18">
        <v>2488.53</v>
      </c>
      <c r="M693" s="16" t="s">
        <v>1493</v>
      </c>
      <c r="N693" s="16" t="s">
        <v>1494</v>
      </c>
      <c r="O693" s="16" t="s">
        <v>1495</v>
      </c>
    </row>
    <row r="694" ht="15.75" customHeight="1">
      <c r="A694" s="23">
        <v>45423.0</v>
      </c>
      <c r="B694" s="16" t="s">
        <v>75</v>
      </c>
      <c r="C694" s="16" t="str">
        <f t="shared" si="1"/>
        <v>Cali</v>
      </c>
      <c r="D694" s="16" t="str">
        <f t="shared" si="2"/>
        <v>Cali</v>
      </c>
      <c r="E694" s="16" t="str">
        <f t="shared" si="3"/>
        <v>Cali</v>
      </c>
      <c r="F694" s="16" t="s">
        <v>373</v>
      </c>
      <c r="G694" s="17" t="str">
        <f>IFERROR(__xludf.DUMMYFUNCTION("SPLIT(F694:F1693,""-"") "),"Teléfono")</f>
        <v>Teléfono</v>
      </c>
      <c r="H694" s="16" t="str">
        <f>IFERROR(__xludf.DUMMYFUNCTION("""COMPUTED_VALUE"""),"Gama media")</f>
        <v>Gama media</v>
      </c>
      <c r="I694" s="16" t="str">
        <f>IFERROR(__xludf.DUMMYFUNCTION("""COMPUTED_VALUE"""),"16GB")</f>
        <v>16GB</v>
      </c>
      <c r="J694" s="18">
        <v>1079.32</v>
      </c>
      <c r="K694" s="16">
        <v>1.0</v>
      </c>
      <c r="L694" s="18">
        <v>1079.32</v>
      </c>
      <c r="M694" s="16" t="s">
        <v>2878</v>
      </c>
      <c r="N694" s="16" t="s">
        <v>2879</v>
      </c>
      <c r="O694" s="16" t="s">
        <v>2880</v>
      </c>
    </row>
    <row r="695" ht="15.75" customHeight="1">
      <c r="A695" s="19">
        <v>45579.0</v>
      </c>
      <c r="B695" s="16" t="s">
        <v>9</v>
      </c>
      <c r="C695" s="16" t="str">
        <f t="shared" si="1"/>
        <v>Monterrey</v>
      </c>
      <c r="D695" s="16" t="str">
        <f t="shared" si="2"/>
        <v>Monterrey</v>
      </c>
      <c r="E695" s="16" t="str">
        <f t="shared" si="3"/>
        <v>Monterrey</v>
      </c>
      <c r="F695" s="16" t="s">
        <v>15</v>
      </c>
      <c r="G695" s="17" t="str">
        <f>IFERROR(__xludf.DUMMYFUNCTION("SPLIT(F695:F1694,""-"") "),"Auriculares")</f>
        <v>Auriculares</v>
      </c>
      <c r="H695" s="16" t="str">
        <f>IFERROR(__xludf.DUMMYFUNCTION("""COMPUTED_VALUE"""),"Con cable")</f>
        <v>Con cable</v>
      </c>
      <c r="I695" s="16" t="str">
        <f>IFERROR(__xludf.DUMMYFUNCTION("""COMPUTED_VALUE"""),"32GB")</f>
        <v>32GB</v>
      </c>
      <c r="J695" s="18">
        <v>1421.57</v>
      </c>
      <c r="K695" s="16">
        <v>4.0</v>
      </c>
      <c r="L695" s="18">
        <v>5686.28</v>
      </c>
      <c r="M695" s="16" t="s">
        <v>240</v>
      </c>
      <c r="N695" s="16" t="s">
        <v>241</v>
      </c>
      <c r="O695" s="16" t="s">
        <v>242</v>
      </c>
    </row>
    <row r="696" ht="15.75" customHeight="1">
      <c r="A696" s="23">
        <v>45334.0</v>
      </c>
      <c r="B696" s="16" t="s">
        <v>35</v>
      </c>
      <c r="C696" s="16" t="str">
        <f t="shared" si="1"/>
        <v>Medellín</v>
      </c>
      <c r="D696" s="16" t="str">
        <f t="shared" si="2"/>
        <v>Medellín</v>
      </c>
      <c r="E696" s="16" t="str">
        <f t="shared" si="3"/>
        <v>Medellín</v>
      </c>
      <c r="F696" s="16" t="s">
        <v>40</v>
      </c>
      <c r="G696" s="17" t="str">
        <f>IFERROR(__xludf.DUMMYFUNCTION("SPLIT(F696:F1695,""-"") "),"Auriculares")</f>
        <v>Auriculares</v>
      </c>
      <c r="H696" s="16" t="str">
        <f>IFERROR(__xludf.DUMMYFUNCTION("""COMPUTED_VALUE"""),"Con cable")</f>
        <v>Con cable</v>
      </c>
      <c r="I696" s="16" t="str">
        <f>IFERROR(__xludf.DUMMYFUNCTION("""COMPUTED_VALUE"""),"8GB")</f>
        <v>8GB</v>
      </c>
      <c r="J696" s="18">
        <v>314.21</v>
      </c>
      <c r="K696" s="16">
        <v>2.0</v>
      </c>
      <c r="L696" s="18">
        <v>628.42</v>
      </c>
      <c r="M696" s="16" t="s">
        <v>2881</v>
      </c>
      <c r="N696" s="16" t="s">
        <v>2882</v>
      </c>
      <c r="O696" s="16" t="s">
        <v>2883</v>
      </c>
    </row>
    <row r="697" ht="15.75" customHeight="1">
      <c r="A697" s="23">
        <v>45422.0</v>
      </c>
      <c r="B697" s="16" t="s">
        <v>9</v>
      </c>
      <c r="C697" s="16" t="str">
        <f t="shared" si="1"/>
        <v>Monterrey</v>
      </c>
      <c r="D697" s="16" t="str">
        <f t="shared" si="2"/>
        <v>Monterrey</v>
      </c>
      <c r="E697" s="16" t="str">
        <f t="shared" si="3"/>
        <v>Monterrey</v>
      </c>
      <c r="F697" s="16" t="s">
        <v>373</v>
      </c>
      <c r="G697" s="17" t="str">
        <f>IFERROR(__xludf.DUMMYFUNCTION("SPLIT(F697:F1696,""-"") "),"Teléfono")</f>
        <v>Teléfono</v>
      </c>
      <c r="H697" s="16" t="str">
        <f>IFERROR(__xludf.DUMMYFUNCTION("""COMPUTED_VALUE"""),"Gama media")</f>
        <v>Gama media</v>
      </c>
      <c r="I697" s="16" t="str">
        <f>IFERROR(__xludf.DUMMYFUNCTION("""COMPUTED_VALUE"""),"16GB")</f>
        <v>16GB</v>
      </c>
      <c r="J697" s="18">
        <v>2027.81</v>
      </c>
      <c r="K697" s="16">
        <v>4.0</v>
      </c>
      <c r="L697" s="18">
        <v>8111.24</v>
      </c>
      <c r="M697" s="16" t="s">
        <v>2884</v>
      </c>
      <c r="N697" s="16" t="s">
        <v>2885</v>
      </c>
      <c r="O697" s="16" t="s">
        <v>2886</v>
      </c>
    </row>
    <row r="698" ht="15.75" customHeight="1">
      <c r="A698" s="19">
        <v>45618.0</v>
      </c>
      <c r="B698" s="16" t="s">
        <v>14</v>
      </c>
      <c r="C698" s="16" t="str">
        <f t="shared" si="1"/>
        <v>Bogotá</v>
      </c>
      <c r="D698" s="16" t="str">
        <f t="shared" si="2"/>
        <v>Bogotá</v>
      </c>
      <c r="E698" s="16" t="str">
        <f t="shared" si="3"/>
        <v>Bogotá</v>
      </c>
      <c r="F698" s="16" t="s">
        <v>153</v>
      </c>
      <c r="G698" s="17" t="str">
        <f>IFERROR(__xludf.DUMMYFUNCTION("SPLIT(F698:F1697,""-"") "),"Laptop")</f>
        <v>Laptop</v>
      </c>
      <c r="H698" s="16" t="str">
        <f>IFERROR(__xludf.DUMMYFUNCTION("""COMPUTED_VALUE"""),"Gaming")</f>
        <v>Gaming</v>
      </c>
      <c r="I698" s="16" t="str">
        <f>IFERROR(__xludf.DUMMYFUNCTION("""COMPUTED_VALUE"""),"8GB")</f>
        <v>8GB</v>
      </c>
      <c r="J698" s="18">
        <v>342.64</v>
      </c>
      <c r="K698" s="16">
        <v>2.0</v>
      </c>
      <c r="L698" s="18">
        <v>685.28</v>
      </c>
      <c r="M698" s="16" t="s">
        <v>1395</v>
      </c>
      <c r="N698" s="16" t="s">
        <v>1396</v>
      </c>
      <c r="O698" s="16" t="s">
        <v>1397</v>
      </c>
    </row>
    <row r="699" ht="15.75" customHeight="1">
      <c r="A699" s="19">
        <v>45580.0</v>
      </c>
      <c r="B699" s="16" t="s">
        <v>75</v>
      </c>
      <c r="C699" s="16" t="str">
        <f t="shared" si="1"/>
        <v>Cali</v>
      </c>
      <c r="D699" s="16" t="str">
        <f t="shared" si="2"/>
        <v>Cali</v>
      </c>
      <c r="E699" s="16" t="str">
        <f t="shared" si="3"/>
        <v>Cali</v>
      </c>
      <c r="F699" s="16" t="s">
        <v>85</v>
      </c>
      <c r="G699" s="17" t="str">
        <f>IFERROR(__xludf.DUMMYFUNCTION("SPLIT(F699:F1698,""-"") "),"Teléfono")</f>
        <v>Teléfono</v>
      </c>
      <c r="H699" s="16" t="str">
        <f>IFERROR(__xludf.DUMMYFUNCTION("""COMPUTED_VALUE"""),"Gama media")</f>
        <v>Gama media</v>
      </c>
      <c r="I699" s="16" t="str">
        <f>IFERROR(__xludf.DUMMYFUNCTION("""COMPUTED_VALUE"""),"32GB")</f>
        <v>32GB</v>
      </c>
      <c r="J699" s="18">
        <v>379.5</v>
      </c>
      <c r="K699" s="16">
        <v>4.0</v>
      </c>
      <c r="L699" s="18">
        <v>1518.0</v>
      </c>
      <c r="M699" s="16" t="s">
        <v>289</v>
      </c>
      <c r="N699" s="16" t="s">
        <v>290</v>
      </c>
      <c r="O699" s="16" t="s">
        <v>291</v>
      </c>
    </row>
    <row r="700" ht="15.75" customHeight="1">
      <c r="A700" s="19">
        <v>45648.0</v>
      </c>
      <c r="B700" s="16" t="s">
        <v>35</v>
      </c>
      <c r="C700" s="16" t="str">
        <f t="shared" si="1"/>
        <v>Medellín</v>
      </c>
      <c r="D700" s="16" t="str">
        <f t="shared" si="2"/>
        <v>Medellín</v>
      </c>
      <c r="E700" s="16" t="str">
        <f t="shared" si="3"/>
        <v>Medellín</v>
      </c>
      <c r="F700" s="16" t="s">
        <v>186</v>
      </c>
      <c r="G700" s="17" t="str">
        <f>IFERROR(__xludf.DUMMYFUNCTION("SPLIT(F700:F1699,""-"") "),"Auriculares")</f>
        <v>Auriculares</v>
      </c>
      <c r="H700" s="16" t="str">
        <f>IFERROR(__xludf.DUMMYFUNCTION("""COMPUTED_VALUE"""),"Cancelaci√≥n de ruido")</f>
        <v>Cancelaci√≥n de ruido</v>
      </c>
      <c r="I700" s="16" t="str">
        <f>IFERROR(__xludf.DUMMYFUNCTION("""COMPUTED_VALUE"""),"16GB")</f>
        <v>16GB</v>
      </c>
      <c r="J700" s="18">
        <v>778.63</v>
      </c>
      <c r="K700" s="16">
        <v>1.0</v>
      </c>
      <c r="L700" s="18">
        <v>778.63</v>
      </c>
      <c r="M700" s="16" t="s">
        <v>2078</v>
      </c>
      <c r="N700" s="16" t="s">
        <v>2079</v>
      </c>
      <c r="O700" s="16" t="s">
        <v>2080</v>
      </c>
    </row>
    <row r="701" ht="15.75" customHeight="1">
      <c r="A701" s="19">
        <v>45580.0</v>
      </c>
      <c r="B701" s="16" t="s">
        <v>9</v>
      </c>
      <c r="C701" s="16" t="str">
        <f t="shared" si="1"/>
        <v>Monterrey</v>
      </c>
      <c r="D701" s="16" t="str">
        <f t="shared" si="2"/>
        <v>Monterrey</v>
      </c>
      <c r="E701" s="16" t="str">
        <f t="shared" si="3"/>
        <v>Monterrey</v>
      </c>
      <c r="F701" s="16" t="s">
        <v>292</v>
      </c>
      <c r="G701" s="17" t="str">
        <f>IFERROR(__xludf.DUMMYFUNCTION("SPLIT(F701:F1700,""-"") "),"Teléfono")</f>
        <v>Teléfono</v>
      </c>
      <c r="H701" s="16" t="str">
        <f>IFERROR(__xludf.DUMMYFUNCTION("""COMPUTED_VALUE"""),"Gama alta")</f>
        <v>Gama alta</v>
      </c>
      <c r="I701" s="16" t="str">
        <f>IFERROR(__xludf.DUMMYFUNCTION("""COMPUTED_VALUE"""),"16GB")</f>
        <v>16GB</v>
      </c>
      <c r="J701" s="18">
        <v>2020.01</v>
      </c>
      <c r="K701" s="16">
        <v>5.0</v>
      </c>
      <c r="L701" s="18">
        <v>10100.05</v>
      </c>
      <c r="M701" s="16" t="s">
        <v>293</v>
      </c>
      <c r="N701" s="16" t="s">
        <v>294</v>
      </c>
      <c r="O701" s="16" t="s">
        <v>295</v>
      </c>
    </row>
    <row r="702" ht="15.75" customHeight="1">
      <c r="A702" s="23">
        <v>45576.0</v>
      </c>
      <c r="B702" s="16" t="s">
        <v>9</v>
      </c>
      <c r="C702" s="16" t="str">
        <f t="shared" si="1"/>
        <v>Monterrey</v>
      </c>
      <c r="D702" s="16" t="str">
        <f t="shared" si="2"/>
        <v>Monterrey</v>
      </c>
      <c r="E702" s="16" t="str">
        <f t="shared" si="3"/>
        <v>Monterrey</v>
      </c>
      <c r="F702" s="16" t="s">
        <v>76</v>
      </c>
      <c r="G702" s="17" t="str">
        <f>IFERROR(__xludf.DUMMYFUNCTION("SPLIT(F702:F1701,""-"") "),"Tablet")</f>
        <v>Tablet</v>
      </c>
      <c r="H702" s="16" t="str">
        <f>IFERROR(__xludf.DUMMYFUNCTION("""COMPUTED_VALUE"""),"Mini")</f>
        <v>Mini</v>
      </c>
      <c r="I702" s="16" t="str">
        <f>IFERROR(__xludf.DUMMYFUNCTION("""COMPUTED_VALUE"""),"32GB")</f>
        <v>32GB</v>
      </c>
      <c r="J702" s="18">
        <v>2288.18</v>
      </c>
      <c r="K702" s="16">
        <v>1.0</v>
      </c>
      <c r="L702" s="18">
        <v>2288.18</v>
      </c>
      <c r="M702" s="16" t="s">
        <v>136</v>
      </c>
      <c r="N702" s="16" t="s">
        <v>137</v>
      </c>
      <c r="O702" s="16" t="s">
        <v>138</v>
      </c>
    </row>
    <row r="703" ht="15.75" customHeight="1">
      <c r="A703" s="19">
        <v>45611.0</v>
      </c>
      <c r="B703" s="16" t="s">
        <v>14</v>
      </c>
      <c r="C703" s="16" t="str">
        <f t="shared" si="1"/>
        <v>Bogotá</v>
      </c>
      <c r="D703" s="16" t="str">
        <f t="shared" si="2"/>
        <v>Bogotá</v>
      </c>
      <c r="E703" s="16" t="str">
        <f t="shared" si="3"/>
        <v>Bogotá</v>
      </c>
      <c r="F703" s="16" t="s">
        <v>125</v>
      </c>
      <c r="G703" s="17" t="str">
        <f>IFERROR(__xludf.DUMMYFUNCTION("SPLIT(F703:F1702,""-"") "),"Tel√©fono")</f>
        <v>Tel√©fono</v>
      </c>
      <c r="H703" s="16" t="str">
        <f>IFERROR(__xludf.DUMMYFUNCTION("""COMPUTED_VALUE"""),"Gama media")</f>
        <v>Gama media</v>
      </c>
      <c r="I703" s="16" t="str">
        <f>IFERROR(__xludf.DUMMYFUNCTION("""COMPUTED_VALUE"""),"8GB")</f>
        <v>8GB</v>
      </c>
      <c r="J703" s="18">
        <v>120.49</v>
      </c>
      <c r="K703" s="16">
        <v>3.0</v>
      </c>
      <c r="L703" s="18">
        <v>361.47</v>
      </c>
      <c r="M703" s="16" t="s">
        <v>1131</v>
      </c>
      <c r="N703" s="16" t="s">
        <v>1132</v>
      </c>
      <c r="O703" s="16" t="s">
        <v>1133</v>
      </c>
    </row>
    <row r="704" ht="15.75" customHeight="1">
      <c r="A704" s="19">
        <v>45611.0</v>
      </c>
      <c r="B704" s="16" t="s">
        <v>75</v>
      </c>
      <c r="C704" s="16" t="str">
        <f t="shared" si="1"/>
        <v>Cali</v>
      </c>
      <c r="D704" s="16" t="str">
        <f t="shared" si="2"/>
        <v>Cali</v>
      </c>
      <c r="E704" s="16" t="str">
        <f t="shared" si="3"/>
        <v>Cali</v>
      </c>
      <c r="F704" s="16" t="s">
        <v>373</v>
      </c>
      <c r="G704" s="17" t="str">
        <f>IFERROR(__xludf.DUMMYFUNCTION("SPLIT(F704:F1703,""-"") "),"Teléfono")</f>
        <v>Teléfono</v>
      </c>
      <c r="H704" s="16" t="str">
        <f>IFERROR(__xludf.DUMMYFUNCTION("""COMPUTED_VALUE"""),"Gama media")</f>
        <v>Gama media</v>
      </c>
      <c r="I704" s="16" t="str">
        <f>IFERROR(__xludf.DUMMYFUNCTION("""COMPUTED_VALUE"""),"16GB")</f>
        <v>16GB</v>
      </c>
      <c r="J704" s="18">
        <v>84.76</v>
      </c>
      <c r="K704" s="16">
        <v>4.0</v>
      </c>
      <c r="L704" s="18">
        <v>339.04</v>
      </c>
      <c r="M704" s="16" t="s">
        <v>1134</v>
      </c>
      <c r="N704" s="16" t="s">
        <v>1135</v>
      </c>
      <c r="O704" s="16" t="s">
        <v>1136</v>
      </c>
    </row>
    <row r="705" ht="15.75" customHeight="1">
      <c r="A705" s="23">
        <v>45606.0</v>
      </c>
      <c r="B705" s="16" t="s">
        <v>35</v>
      </c>
      <c r="C705" s="16" t="str">
        <f t="shared" si="1"/>
        <v>Medellín</v>
      </c>
      <c r="D705" s="16" t="str">
        <f t="shared" si="2"/>
        <v>Medellín</v>
      </c>
      <c r="E705" s="16" t="str">
        <f t="shared" si="3"/>
        <v>Medellín</v>
      </c>
      <c r="F705" s="16" t="s">
        <v>15</v>
      </c>
      <c r="G705" s="17" t="str">
        <f>IFERROR(__xludf.DUMMYFUNCTION("SPLIT(F705:F1704,""-"") "),"Auriculares")</f>
        <v>Auriculares</v>
      </c>
      <c r="H705" s="16" t="str">
        <f>IFERROR(__xludf.DUMMYFUNCTION("""COMPUTED_VALUE"""),"Con cable")</f>
        <v>Con cable</v>
      </c>
      <c r="I705" s="16" t="str">
        <f>IFERROR(__xludf.DUMMYFUNCTION("""COMPUTED_VALUE"""),"32GB")</f>
        <v>32GB</v>
      </c>
      <c r="J705" s="18">
        <v>1746.28</v>
      </c>
      <c r="K705" s="16">
        <v>2.0</v>
      </c>
      <c r="L705" s="18">
        <v>3492.56</v>
      </c>
      <c r="M705" s="16" t="s">
        <v>960</v>
      </c>
      <c r="N705" s="16" t="s">
        <v>961</v>
      </c>
      <c r="O705" s="16" t="s">
        <v>962</v>
      </c>
    </row>
    <row r="706" ht="15.75" customHeight="1">
      <c r="A706" s="19">
        <v>45650.0</v>
      </c>
      <c r="B706" s="16" t="s">
        <v>14</v>
      </c>
      <c r="C706" s="16" t="str">
        <f t="shared" si="1"/>
        <v>Bogotá</v>
      </c>
      <c r="D706" s="16" t="str">
        <f t="shared" si="2"/>
        <v>Bogotá</v>
      </c>
      <c r="E706" s="16" t="str">
        <f t="shared" si="3"/>
        <v>Bogotá</v>
      </c>
      <c r="F706" s="16" t="s">
        <v>282</v>
      </c>
      <c r="G706" s="17" t="str">
        <f>IFERROR(__xludf.DUMMYFUNCTION("SPLIT(F706:F1705,""-"") "),"Tablet")</f>
        <v>Tablet</v>
      </c>
      <c r="H706" s="16" t="str">
        <f>IFERROR(__xludf.DUMMYFUNCTION("""COMPUTED_VALUE"""),"Pro")</f>
        <v>Pro</v>
      </c>
      <c r="I706" s="16" t="str">
        <f>IFERROR(__xludf.DUMMYFUNCTION("""COMPUTED_VALUE"""),"16GB")</f>
        <v>16GB</v>
      </c>
      <c r="J706" s="18">
        <v>2003.92</v>
      </c>
      <c r="K706" s="16">
        <v>2.0</v>
      </c>
      <c r="L706" s="18">
        <v>4007.84</v>
      </c>
      <c r="M706" s="16" t="s">
        <v>2147</v>
      </c>
      <c r="N706" s="16" t="s">
        <v>2148</v>
      </c>
      <c r="O706" s="16" t="s">
        <v>2149</v>
      </c>
    </row>
    <row r="707" ht="15.75" customHeight="1">
      <c r="A707" s="23">
        <v>45362.0</v>
      </c>
      <c r="B707" s="16" t="s">
        <v>9</v>
      </c>
      <c r="C707" s="16" t="str">
        <f t="shared" si="1"/>
        <v>Monterrey</v>
      </c>
      <c r="D707" s="16" t="str">
        <f t="shared" si="2"/>
        <v>Monterrey</v>
      </c>
      <c r="E707" s="16" t="str">
        <f t="shared" si="3"/>
        <v>Monterrey</v>
      </c>
      <c r="F707" s="16" t="s">
        <v>233</v>
      </c>
      <c r="G707" s="17" t="str">
        <f>IFERROR(__xludf.DUMMYFUNCTION("SPLIT(F707:F1706,""-"") "),"Tablet")</f>
        <v>Tablet</v>
      </c>
      <c r="H707" s="16" t="str">
        <f>IFERROR(__xludf.DUMMYFUNCTION("""COMPUTED_VALUE"""),"Mini")</f>
        <v>Mini</v>
      </c>
      <c r="I707" s="16" t="str">
        <f>IFERROR(__xludf.DUMMYFUNCTION("""COMPUTED_VALUE"""),"16GB")</f>
        <v>16GB</v>
      </c>
      <c r="J707" s="18">
        <v>2332.13</v>
      </c>
      <c r="K707" s="16">
        <v>1.0</v>
      </c>
      <c r="L707" s="18">
        <v>2332.13</v>
      </c>
      <c r="M707" s="16" t="s">
        <v>2887</v>
      </c>
      <c r="N707" s="16" t="s">
        <v>2888</v>
      </c>
      <c r="O707" s="16" t="s">
        <v>2889</v>
      </c>
    </row>
    <row r="708" ht="15.75" customHeight="1">
      <c r="A708" s="19">
        <v>45649.0</v>
      </c>
      <c r="B708" s="16" t="s">
        <v>2359</v>
      </c>
      <c r="C708" s="16" t="str">
        <f t="shared" si="1"/>
        <v>Ciudad De M√©Xico</v>
      </c>
      <c r="D708" s="16" t="str">
        <f t="shared" si="2"/>
        <v>Ciudad De M√©Xico</v>
      </c>
      <c r="E708" s="16" t="str">
        <f t="shared" si="3"/>
        <v>Ciudad De MéXico</v>
      </c>
      <c r="F708" s="16" t="s">
        <v>85</v>
      </c>
      <c r="G708" s="17" t="str">
        <f>IFERROR(__xludf.DUMMYFUNCTION("SPLIT(F708:F1707,""-"") "),"Teléfono")</f>
        <v>Teléfono</v>
      </c>
      <c r="H708" s="16" t="str">
        <f>IFERROR(__xludf.DUMMYFUNCTION("""COMPUTED_VALUE"""),"Gama media")</f>
        <v>Gama media</v>
      </c>
      <c r="I708" s="16" t="str">
        <f>IFERROR(__xludf.DUMMYFUNCTION("""COMPUTED_VALUE"""),"32GB")</f>
        <v>32GB</v>
      </c>
      <c r="J708" s="18">
        <v>1918.04</v>
      </c>
      <c r="K708" s="16">
        <v>5.0</v>
      </c>
      <c r="L708" s="18">
        <v>9590.2</v>
      </c>
      <c r="M708" s="16" t="s">
        <v>2114</v>
      </c>
      <c r="N708" s="16" t="s">
        <v>2115</v>
      </c>
      <c r="O708" s="16" t="s">
        <v>2116</v>
      </c>
    </row>
    <row r="709" ht="15.75" customHeight="1">
      <c r="A709" s="19">
        <v>45578.0</v>
      </c>
      <c r="B709" s="16" t="s">
        <v>58</v>
      </c>
      <c r="C709" s="16" t="str">
        <f t="shared" si="1"/>
        <v>Guadalajara</v>
      </c>
      <c r="D709" s="16" t="str">
        <f t="shared" si="2"/>
        <v>Guadalajara</v>
      </c>
      <c r="E709" s="16" t="str">
        <f t="shared" si="3"/>
        <v>Guadalajara</v>
      </c>
      <c r="F709" s="16" t="s">
        <v>36</v>
      </c>
      <c r="G709" s="17" t="str">
        <f>IFERROR(__xludf.DUMMYFUNCTION("SPLIT(F709:F1708,""-"") "),"Tablet")</f>
        <v>Tablet</v>
      </c>
      <c r="H709" s="16" t="str">
        <f>IFERROR(__xludf.DUMMYFUNCTION("""COMPUTED_VALUE"""),"Pro")</f>
        <v>Pro</v>
      </c>
      <c r="I709" s="16" t="str">
        <f>IFERROR(__xludf.DUMMYFUNCTION("""COMPUTED_VALUE"""),"4GB")</f>
        <v>4GB</v>
      </c>
      <c r="J709" s="18">
        <v>233.85</v>
      </c>
      <c r="K709" s="16">
        <v>4.0</v>
      </c>
      <c r="L709" s="18">
        <v>935.4</v>
      </c>
      <c r="M709" s="16" t="s">
        <v>197</v>
      </c>
      <c r="N709" s="16" t="s">
        <v>198</v>
      </c>
      <c r="O709" s="16" t="s">
        <v>199</v>
      </c>
    </row>
    <row r="710" ht="15.75" customHeight="1">
      <c r="A710" s="23">
        <v>45454.0</v>
      </c>
      <c r="B710" s="16" t="s">
        <v>2359</v>
      </c>
      <c r="C710" s="16" t="str">
        <f t="shared" si="1"/>
        <v>Ciudad De M√©Xico</v>
      </c>
      <c r="D710" s="16" t="str">
        <f t="shared" si="2"/>
        <v>Ciudad De M√©Xico</v>
      </c>
      <c r="E710" s="16" t="str">
        <f t="shared" si="3"/>
        <v>Ciudad De MéXico</v>
      </c>
      <c r="F710" s="16" t="s">
        <v>186</v>
      </c>
      <c r="G710" s="17" t="str">
        <f>IFERROR(__xludf.DUMMYFUNCTION("SPLIT(F710:F1709,""-"") "),"Auriculares")</f>
        <v>Auriculares</v>
      </c>
      <c r="H710" s="16" t="str">
        <f>IFERROR(__xludf.DUMMYFUNCTION("""COMPUTED_VALUE"""),"Cancelaci√≥n de ruido")</f>
        <v>Cancelaci√≥n de ruido</v>
      </c>
      <c r="I710" s="16" t="str">
        <f>IFERROR(__xludf.DUMMYFUNCTION("""COMPUTED_VALUE"""),"16GB")</f>
        <v>16GB</v>
      </c>
      <c r="J710" s="18">
        <v>800.91</v>
      </c>
      <c r="K710" s="16">
        <v>5.0</v>
      </c>
      <c r="L710" s="18">
        <v>4004.55</v>
      </c>
      <c r="M710" s="16" t="s">
        <v>2890</v>
      </c>
      <c r="N710" s="16" t="s">
        <v>2891</v>
      </c>
      <c r="O710" s="16" t="s">
        <v>2892</v>
      </c>
    </row>
    <row r="711" ht="15.75" customHeight="1">
      <c r="A711" s="23">
        <v>45334.0</v>
      </c>
      <c r="B711" s="16" t="s">
        <v>2359</v>
      </c>
      <c r="C711" s="16" t="str">
        <f t="shared" si="1"/>
        <v>Ciudad De M√©Xico</v>
      </c>
      <c r="D711" s="16" t="str">
        <f t="shared" si="2"/>
        <v>Ciudad De M√©Xico</v>
      </c>
      <c r="E711" s="16" t="str">
        <f t="shared" si="3"/>
        <v>Ciudad De MéXico</v>
      </c>
      <c r="F711" s="16" t="s">
        <v>81</v>
      </c>
      <c r="G711" s="17" t="str">
        <f>IFERROR(__xludf.DUMMYFUNCTION("SPLIT(F711:F1710,""-"") "),"Laptop")</f>
        <v>Laptop</v>
      </c>
      <c r="H711" s="16" t="str">
        <f>IFERROR(__xludf.DUMMYFUNCTION("""COMPUTED_VALUE"""),"Oficina")</f>
        <v>Oficina</v>
      </c>
      <c r="I711" s="16" t="str">
        <f>IFERROR(__xludf.DUMMYFUNCTION("""COMPUTED_VALUE"""),"16GB")</f>
        <v>16GB</v>
      </c>
      <c r="J711" s="18">
        <v>1129.0</v>
      </c>
      <c r="K711" s="16">
        <v>5.0</v>
      </c>
      <c r="L711" s="18">
        <v>5645.0</v>
      </c>
      <c r="M711" s="16" t="s">
        <v>2893</v>
      </c>
      <c r="N711" s="16" t="s">
        <v>2894</v>
      </c>
      <c r="O711" s="16" t="s">
        <v>2895</v>
      </c>
    </row>
    <row r="712" ht="15.75" customHeight="1">
      <c r="A712" s="23">
        <v>45394.0</v>
      </c>
      <c r="B712" s="16" t="s">
        <v>75</v>
      </c>
      <c r="C712" s="16" t="str">
        <f t="shared" si="1"/>
        <v>Cali</v>
      </c>
      <c r="D712" s="16" t="str">
        <f t="shared" si="2"/>
        <v>Cali</v>
      </c>
      <c r="E712" s="16" t="str">
        <f t="shared" si="3"/>
        <v>Cali</v>
      </c>
      <c r="F712" s="16" t="s">
        <v>344</v>
      </c>
      <c r="G712" s="17" t="str">
        <f>IFERROR(__xludf.DUMMYFUNCTION("SPLIT(F712:F1711,""-"") "),"Laptop")</f>
        <v>Laptop</v>
      </c>
      <c r="H712" s="16" t="str">
        <f>IFERROR(__xludf.DUMMYFUNCTION("""COMPUTED_VALUE"""),"Ultraliviana")</f>
        <v>Ultraliviana</v>
      </c>
      <c r="I712" s="16" t="str">
        <f>IFERROR(__xludf.DUMMYFUNCTION("""COMPUTED_VALUE"""),"8GB")</f>
        <v>8GB</v>
      </c>
      <c r="J712" s="18">
        <v>2399.48</v>
      </c>
      <c r="K712" s="16">
        <v>2.0</v>
      </c>
      <c r="L712" s="18">
        <v>4798.96</v>
      </c>
      <c r="M712" s="16" t="s">
        <v>2896</v>
      </c>
      <c r="N712" s="16" t="s">
        <v>2897</v>
      </c>
      <c r="O712" s="16" t="s">
        <v>2898</v>
      </c>
    </row>
    <row r="713" ht="15.75" customHeight="1">
      <c r="A713" s="19">
        <v>45642.0</v>
      </c>
      <c r="B713" s="16" t="s">
        <v>14</v>
      </c>
      <c r="C713" s="16" t="str">
        <f t="shared" si="1"/>
        <v>Bogotá</v>
      </c>
      <c r="D713" s="16" t="str">
        <f t="shared" si="2"/>
        <v>Bogotá</v>
      </c>
      <c r="E713" s="16" t="str">
        <f t="shared" si="3"/>
        <v>Bogotá</v>
      </c>
      <c r="F713" s="16" t="s">
        <v>255</v>
      </c>
      <c r="G713" s="17" t="str">
        <f>IFERROR(__xludf.DUMMYFUNCTION("SPLIT(F713:F1712,""-"") "),"Auriculares")</f>
        <v>Auriculares</v>
      </c>
      <c r="H713" s="16" t="str">
        <f>IFERROR(__xludf.DUMMYFUNCTION("""COMPUTED_VALUE"""),"Bluetooth")</f>
        <v>Bluetooth</v>
      </c>
      <c r="I713" s="16" t="str">
        <f>IFERROR(__xludf.DUMMYFUNCTION("""COMPUTED_VALUE"""),"8GB")</f>
        <v>8GB</v>
      </c>
      <c r="J713" s="18">
        <v>763.21</v>
      </c>
      <c r="K713" s="16">
        <v>5.0</v>
      </c>
      <c r="L713" s="18">
        <v>3816.05</v>
      </c>
      <c r="M713" s="16" t="s">
        <v>1897</v>
      </c>
      <c r="N713" s="16" t="s">
        <v>1898</v>
      </c>
      <c r="O713" s="16" t="s">
        <v>1899</v>
      </c>
    </row>
    <row r="714" ht="15.75" customHeight="1">
      <c r="A714" s="19">
        <v>45654.0</v>
      </c>
      <c r="B714" s="16" t="s">
        <v>2359</v>
      </c>
      <c r="C714" s="16" t="str">
        <f t="shared" si="1"/>
        <v>Ciudad De M√©Xico</v>
      </c>
      <c r="D714" s="16" t="str">
        <f t="shared" si="2"/>
        <v>Ciudad De M√©Xico</v>
      </c>
      <c r="E714" s="16" t="str">
        <f t="shared" si="3"/>
        <v>Ciudad De MéXico</v>
      </c>
      <c r="F714" s="16" t="s">
        <v>311</v>
      </c>
      <c r="G714" s="17" t="str">
        <f>IFERROR(__xludf.DUMMYFUNCTION("SPLIT(F714:F1713,""-"") "),"Laptop")</f>
        <v>Laptop</v>
      </c>
      <c r="H714" s="16" t="str">
        <f>IFERROR(__xludf.DUMMYFUNCTION("""COMPUTED_VALUE"""),"Ultraliviana")</f>
        <v>Ultraliviana</v>
      </c>
      <c r="I714" s="16" t="str">
        <f>IFERROR(__xludf.DUMMYFUNCTION("""COMPUTED_VALUE"""),"32GB")</f>
        <v>32GB</v>
      </c>
      <c r="J714" s="18">
        <v>1061.9</v>
      </c>
      <c r="K714" s="16">
        <v>4.0</v>
      </c>
      <c r="L714" s="18">
        <v>4247.6</v>
      </c>
      <c r="M714" s="16" t="s">
        <v>2252</v>
      </c>
      <c r="N714" s="16" t="s">
        <v>2253</v>
      </c>
      <c r="O714" s="16" t="s">
        <v>2254</v>
      </c>
    </row>
    <row r="715" ht="15.75" customHeight="1">
      <c r="A715" s="19">
        <v>45584.0</v>
      </c>
      <c r="B715" s="16" t="s">
        <v>58</v>
      </c>
      <c r="C715" s="16" t="str">
        <f t="shared" si="1"/>
        <v>Guadalajara</v>
      </c>
      <c r="D715" s="16" t="str">
        <f t="shared" si="2"/>
        <v>Guadalajara</v>
      </c>
      <c r="E715" s="16" t="str">
        <f t="shared" si="3"/>
        <v>Guadalajara</v>
      </c>
      <c r="F715" s="16" t="s">
        <v>430</v>
      </c>
      <c r="G715" s="17" t="str">
        <f>IFERROR(__xludf.DUMMYFUNCTION("SPLIT(F715:F1714,""-"") "),"Teléfono")</f>
        <v>Teléfono</v>
      </c>
      <c r="H715" s="16" t="str">
        <f>IFERROR(__xludf.DUMMYFUNCTION("""COMPUTED_VALUE"""),"Gama alta")</f>
        <v>Gama alta</v>
      </c>
      <c r="I715" s="16" t="str">
        <f>IFERROR(__xludf.DUMMYFUNCTION("""COMPUTED_VALUE"""),"4GB")</f>
        <v>4GB</v>
      </c>
      <c r="J715" s="18">
        <v>2329.03</v>
      </c>
      <c r="K715" s="16">
        <v>4.0</v>
      </c>
      <c r="L715" s="18">
        <v>9316.12</v>
      </c>
      <c r="M715" s="16" t="s">
        <v>437</v>
      </c>
      <c r="N715" s="16" t="s">
        <v>438</v>
      </c>
      <c r="O715" s="16" t="s">
        <v>439</v>
      </c>
    </row>
    <row r="716" ht="15.75" customHeight="1">
      <c r="A716" s="19">
        <v>45618.0</v>
      </c>
      <c r="B716" s="16" t="s">
        <v>9</v>
      </c>
      <c r="C716" s="16" t="str">
        <f t="shared" si="1"/>
        <v>Monterrey</v>
      </c>
      <c r="D716" s="16" t="str">
        <f t="shared" si="2"/>
        <v>Monterrey</v>
      </c>
      <c r="E716" s="16" t="str">
        <f t="shared" si="3"/>
        <v>Monterrey</v>
      </c>
      <c r="F716" s="16" t="s">
        <v>315</v>
      </c>
      <c r="G716" s="17" t="str">
        <f>IFERROR(__xludf.DUMMYFUNCTION("SPLIT(F716:F1715,""-"") "),"Teléfono")</f>
        <v>Teléfono</v>
      </c>
      <c r="H716" s="16" t="str">
        <f>IFERROR(__xludf.DUMMYFUNCTION("""COMPUTED_VALUE"""),"Gama baja")</f>
        <v>Gama baja</v>
      </c>
      <c r="I716" s="16" t="str">
        <f>IFERROR(__xludf.DUMMYFUNCTION("""COMPUTED_VALUE"""),"8GB")</f>
        <v>8GB</v>
      </c>
      <c r="J716" s="18">
        <v>1249.46</v>
      </c>
      <c r="K716" s="16">
        <v>1.0</v>
      </c>
      <c r="L716" s="18">
        <v>1249.46</v>
      </c>
      <c r="M716" s="16" t="s">
        <v>1398</v>
      </c>
      <c r="N716" s="16" t="s">
        <v>1399</v>
      </c>
      <c r="O716" s="21" t="s">
        <v>1400</v>
      </c>
    </row>
    <row r="717" ht="15.75" customHeight="1">
      <c r="A717" s="23">
        <v>45393.0</v>
      </c>
      <c r="B717" s="16" t="s">
        <v>35</v>
      </c>
      <c r="C717" s="16" t="str">
        <f t="shared" si="1"/>
        <v>Medellín</v>
      </c>
      <c r="D717" s="16" t="str">
        <f t="shared" si="2"/>
        <v>Medellín</v>
      </c>
      <c r="E717" s="16" t="str">
        <f t="shared" si="3"/>
        <v>Medellín</v>
      </c>
      <c r="F717" s="16" t="s">
        <v>15</v>
      </c>
      <c r="G717" s="17" t="str">
        <f>IFERROR(__xludf.DUMMYFUNCTION("SPLIT(F717:F1716,""-"") "),"Auriculares")</f>
        <v>Auriculares</v>
      </c>
      <c r="H717" s="16" t="str">
        <f>IFERROR(__xludf.DUMMYFUNCTION("""COMPUTED_VALUE"""),"Con cable")</f>
        <v>Con cable</v>
      </c>
      <c r="I717" s="16" t="str">
        <f>IFERROR(__xludf.DUMMYFUNCTION("""COMPUTED_VALUE"""),"32GB")</f>
        <v>32GB</v>
      </c>
      <c r="J717" s="18">
        <v>1905.51</v>
      </c>
      <c r="K717" s="16">
        <v>2.0</v>
      </c>
      <c r="L717" s="18">
        <v>3811.02</v>
      </c>
      <c r="M717" s="16" t="s">
        <v>2899</v>
      </c>
      <c r="N717" s="16" t="s">
        <v>2900</v>
      </c>
      <c r="O717" s="16" t="s">
        <v>2901</v>
      </c>
    </row>
    <row r="718" ht="15.75" customHeight="1">
      <c r="A718" s="23">
        <v>45608.0</v>
      </c>
      <c r="B718" s="16" t="s">
        <v>35</v>
      </c>
      <c r="C718" s="16" t="str">
        <f t="shared" si="1"/>
        <v>Medellín</v>
      </c>
      <c r="D718" s="16" t="str">
        <f t="shared" si="2"/>
        <v>Medellín</v>
      </c>
      <c r="E718" s="16" t="str">
        <f t="shared" si="3"/>
        <v>Medellín</v>
      </c>
      <c r="F718" s="16" t="s">
        <v>36</v>
      </c>
      <c r="G718" s="17" t="str">
        <f>IFERROR(__xludf.DUMMYFUNCTION("SPLIT(F718:F1717,""-"") "),"Tablet")</f>
        <v>Tablet</v>
      </c>
      <c r="H718" s="16" t="str">
        <f>IFERROR(__xludf.DUMMYFUNCTION("""COMPUTED_VALUE"""),"Pro")</f>
        <v>Pro</v>
      </c>
      <c r="I718" s="16" t="str">
        <f>IFERROR(__xludf.DUMMYFUNCTION("""COMPUTED_VALUE"""),"4GB")</f>
        <v>4GB</v>
      </c>
      <c r="J718" s="18">
        <v>1151.85</v>
      </c>
      <c r="K718" s="16">
        <v>5.0</v>
      </c>
      <c r="L718" s="18">
        <v>5759.25</v>
      </c>
      <c r="M718" s="16" t="s">
        <v>1018</v>
      </c>
      <c r="N718" s="16" t="s">
        <v>1019</v>
      </c>
      <c r="O718" s="16" t="s">
        <v>1020</v>
      </c>
    </row>
    <row r="719" ht="15.75" customHeight="1">
      <c r="A719" s="19">
        <v>45580.0</v>
      </c>
      <c r="B719" s="16" t="s">
        <v>9</v>
      </c>
      <c r="C719" s="16" t="str">
        <f t="shared" si="1"/>
        <v>Monterrey</v>
      </c>
      <c r="D719" s="16" t="str">
        <f t="shared" si="2"/>
        <v>Monterrey</v>
      </c>
      <c r="E719" s="16" t="str">
        <f t="shared" si="3"/>
        <v>Monterrey</v>
      </c>
      <c r="F719" s="16" t="s">
        <v>15</v>
      </c>
      <c r="G719" s="17" t="str">
        <f>IFERROR(__xludf.DUMMYFUNCTION("SPLIT(F719:F1718,""-"") "),"Auriculares")</f>
        <v>Auriculares</v>
      </c>
      <c r="H719" s="16" t="str">
        <f>IFERROR(__xludf.DUMMYFUNCTION("""COMPUTED_VALUE"""),"Con cable")</f>
        <v>Con cable</v>
      </c>
      <c r="I719" s="16" t="str">
        <f>IFERROR(__xludf.DUMMYFUNCTION("""COMPUTED_VALUE"""),"32GB")</f>
        <v>32GB</v>
      </c>
      <c r="J719" s="18">
        <v>428.56</v>
      </c>
      <c r="K719" s="16">
        <v>1.0</v>
      </c>
      <c r="L719" s="18">
        <v>428.56</v>
      </c>
      <c r="M719" s="16" t="s">
        <v>296</v>
      </c>
      <c r="N719" s="16" t="s">
        <v>297</v>
      </c>
      <c r="O719" s="16" t="s">
        <v>298</v>
      </c>
    </row>
    <row r="720" ht="15.75" customHeight="1">
      <c r="A720" s="23">
        <v>45637.0</v>
      </c>
      <c r="B720" s="16" t="s">
        <v>14</v>
      </c>
      <c r="C720" s="16" t="str">
        <f t="shared" si="1"/>
        <v>Bogotá</v>
      </c>
      <c r="D720" s="16" t="str">
        <f t="shared" si="2"/>
        <v>Bogotá</v>
      </c>
      <c r="E720" s="16" t="str">
        <f t="shared" si="3"/>
        <v>Bogotá</v>
      </c>
      <c r="F720" s="16" t="s">
        <v>23</v>
      </c>
      <c r="G720" s="17" t="str">
        <f>IFERROR(__xludf.DUMMYFUNCTION("SPLIT(F720:F1719,""-"") "),"Tablet")</f>
        <v>Tablet</v>
      </c>
      <c r="H720" s="16" t="str">
        <f>IFERROR(__xludf.DUMMYFUNCTION("""COMPUTED_VALUE"""),"Estándar")</f>
        <v>Estándar</v>
      </c>
      <c r="I720" s="16" t="str">
        <f>IFERROR(__xludf.DUMMYFUNCTION("""COMPUTED_VALUE"""),"16GB")</f>
        <v>16GB</v>
      </c>
      <c r="J720" s="18">
        <v>1672.13</v>
      </c>
      <c r="K720" s="16">
        <v>4.0</v>
      </c>
      <c r="L720" s="18">
        <v>6688.52</v>
      </c>
      <c r="M720" s="16" t="s">
        <v>1778</v>
      </c>
      <c r="N720" s="16" t="s">
        <v>1779</v>
      </c>
      <c r="O720" s="16" t="s">
        <v>1780</v>
      </c>
    </row>
    <row r="721" ht="15.75" customHeight="1">
      <c r="A721" s="23">
        <v>45422.0</v>
      </c>
      <c r="B721" s="16" t="s">
        <v>9</v>
      </c>
      <c r="C721" s="16" t="str">
        <f t="shared" si="1"/>
        <v>Monterrey</v>
      </c>
      <c r="D721" s="16" t="str">
        <f t="shared" si="2"/>
        <v>Monterrey</v>
      </c>
      <c r="E721" s="16" t="str">
        <f t="shared" si="3"/>
        <v>Monterrey</v>
      </c>
      <c r="F721" s="16" t="s">
        <v>225</v>
      </c>
      <c r="G721" s="17" t="str">
        <f>IFERROR(__xludf.DUMMYFUNCTION("SPLIT(F721:F1720,""-"") "),"Laptop")</f>
        <v>Laptop</v>
      </c>
      <c r="H721" s="16" t="str">
        <f>IFERROR(__xludf.DUMMYFUNCTION("""COMPUTED_VALUE"""),"Gaming")</f>
        <v>Gaming</v>
      </c>
      <c r="I721" s="16" t="str">
        <f>IFERROR(__xludf.DUMMYFUNCTION("""COMPUTED_VALUE"""),"16GB")</f>
        <v>16GB</v>
      </c>
      <c r="J721" s="18">
        <v>1312.69</v>
      </c>
      <c r="K721" s="16">
        <v>5.0</v>
      </c>
      <c r="L721" s="18">
        <v>6563.45</v>
      </c>
      <c r="M721" s="16" t="s">
        <v>2902</v>
      </c>
      <c r="N721" s="16" t="s">
        <v>2903</v>
      </c>
      <c r="O721" s="16" t="s">
        <v>2904</v>
      </c>
    </row>
    <row r="722" ht="15.75" customHeight="1">
      <c r="A722" s="23">
        <v>45333.0</v>
      </c>
      <c r="B722" s="16" t="s">
        <v>35</v>
      </c>
      <c r="C722" s="16" t="str">
        <f t="shared" si="1"/>
        <v>Medellín</v>
      </c>
      <c r="D722" s="16" t="str">
        <f t="shared" si="2"/>
        <v>Medellín</v>
      </c>
      <c r="E722" s="16" t="str">
        <f t="shared" si="3"/>
        <v>Medellín</v>
      </c>
      <c r="F722" s="16" t="s">
        <v>85</v>
      </c>
      <c r="G722" s="17" t="str">
        <f>IFERROR(__xludf.DUMMYFUNCTION("SPLIT(F722:F1721,""-"") "),"Teléfono")</f>
        <v>Teléfono</v>
      </c>
      <c r="H722" s="16" t="str">
        <f>IFERROR(__xludf.DUMMYFUNCTION("""COMPUTED_VALUE"""),"Gama media")</f>
        <v>Gama media</v>
      </c>
      <c r="I722" s="16" t="str">
        <f>IFERROR(__xludf.DUMMYFUNCTION("""COMPUTED_VALUE"""),"32GB")</f>
        <v>32GB</v>
      </c>
      <c r="J722" s="18">
        <v>1306.96</v>
      </c>
      <c r="K722" s="16">
        <v>2.0</v>
      </c>
      <c r="L722" s="18">
        <v>2613.92</v>
      </c>
      <c r="M722" s="16" t="s">
        <v>2905</v>
      </c>
      <c r="N722" s="16" t="s">
        <v>2906</v>
      </c>
      <c r="O722" s="16" t="s">
        <v>2907</v>
      </c>
    </row>
    <row r="723" ht="15.75" customHeight="1">
      <c r="A723" s="23">
        <v>45453.0</v>
      </c>
      <c r="B723" s="16" t="s">
        <v>9</v>
      </c>
      <c r="C723" s="16" t="str">
        <f t="shared" si="1"/>
        <v>Monterrey</v>
      </c>
      <c r="D723" s="16" t="str">
        <f t="shared" si="2"/>
        <v>Monterrey</v>
      </c>
      <c r="E723" s="16" t="str">
        <f t="shared" si="3"/>
        <v>Monterrey</v>
      </c>
      <c r="F723" s="16" t="s">
        <v>76</v>
      </c>
      <c r="G723" s="17" t="str">
        <f>IFERROR(__xludf.DUMMYFUNCTION("SPLIT(F723:F1722,""-"") "),"Tablet")</f>
        <v>Tablet</v>
      </c>
      <c r="H723" s="16" t="str">
        <f>IFERROR(__xludf.DUMMYFUNCTION("""COMPUTED_VALUE"""),"Mini")</f>
        <v>Mini</v>
      </c>
      <c r="I723" s="16" t="str">
        <f>IFERROR(__xludf.DUMMYFUNCTION("""COMPUTED_VALUE"""),"32GB")</f>
        <v>32GB</v>
      </c>
      <c r="J723" s="18">
        <v>164.87</v>
      </c>
      <c r="K723" s="16">
        <v>3.0</v>
      </c>
      <c r="L723" s="18">
        <v>494.61</v>
      </c>
      <c r="M723" s="16" t="s">
        <v>2908</v>
      </c>
      <c r="N723" s="16" t="s">
        <v>2909</v>
      </c>
      <c r="O723" s="16" t="s">
        <v>2910</v>
      </c>
    </row>
    <row r="724" ht="15.75" customHeight="1">
      <c r="A724" s="19">
        <v>45654.0</v>
      </c>
      <c r="B724" s="16" t="s">
        <v>2359</v>
      </c>
      <c r="C724" s="16" t="str">
        <f t="shared" si="1"/>
        <v>Ciudad De M√©Xico</v>
      </c>
      <c r="D724" s="16" t="str">
        <f t="shared" si="2"/>
        <v>Ciudad De M√©Xico</v>
      </c>
      <c r="E724" s="16" t="str">
        <f t="shared" si="3"/>
        <v>Ciudad De MéXico</v>
      </c>
      <c r="F724" s="16" t="s">
        <v>50</v>
      </c>
      <c r="G724" s="17" t="str">
        <f>IFERROR(__xludf.DUMMYFUNCTION("SPLIT(F724:F1723,""-"") "),"Tablet")</f>
        <v>Tablet</v>
      </c>
      <c r="H724" s="16" t="str">
        <f>IFERROR(__xludf.DUMMYFUNCTION("""COMPUTED_VALUE"""),"Estándar")</f>
        <v>Estándar</v>
      </c>
      <c r="I724" s="16" t="str">
        <f>IFERROR(__xludf.DUMMYFUNCTION("""COMPUTED_VALUE"""),"32GB")</f>
        <v>32GB</v>
      </c>
      <c r="J724" s="18">
        <v>1152.78</v>
      </c>
      <c r="K724" s="16">
        <v>4.0</v>
      </c>
      <c r="L724" s="18">
        <v>4611.12</v>
      </c>
      <c r="M724" s="16" t="s">
        <v>2255</v>
      </c>
      <c r="N724" s="16" t="s">
        <v>2256</v>
      </c>
      <c r="O724" s="16" t="s">
        <v>2257</v>
      </c>
    </row>
    <row r="725" ht="15.75" customHeight="1">
      <c r="A725" s="19">
        <v>45587.0</v>
      </c>
      <c r="B725" s="16" t="s">
        <v>14</v>
      </c>
      <c r="C725" s="16" t="str">
        <f t="shared" si="1"/>
        <v>Bogotá</v>
      </c>
      <c r="D725" s="16" t="str">
        <f t="shared" si="2"/>
        <v>Bogotá</v>
      </c>
      <c r="E725" s="16" t="str">
        <f t="shared" si="3"/>
        <v>Bogotá</v>
      </c>
      <c r="F725" s="16" t="s">
        <v>163</v>
      </c>
      <c r="G725" s="17" t="str">
        <f>IFERROR(__xludf.DUMMYFUNCTION("SPLIT(F725:F1724,""-"") "),"Laptop")</f>
        <v>Laptop</v>
      </c>
      <c r="H725" s="16" t="str">
        <f>IFERROR(__xludf.DUMMYFUNCTION("""COMPUTED_VALUE"""),"Oficina")</f>
        <v>Oficina</v>
      </c>
      <c r="I725" s="16" t="str">
        <f>IFERROR(__xludf.DUMMYFUNCTION("""COMPUTED_VALUE"""),"32GB")</f>
        <v>32GB</v>
      </c>
      <c r="J725" s="18">
        <v>2063.13</v>
      </c>
      <c r="K725" s="16">
        <v>4.0</v>
      </c>
      <c r="L725" s="18">
        <v>8252.52</v>
      </c>
      <c r="M725" s="16" t="s">
        <v>535</v>
      </c>
      <c r="N725" s="16" t="s">
        <v>536</v>
      </c>
      <c r="O725" s="16" t="s">
        <v>537</v>
      </c>
    </row>
    <row r="726" ht="15.75" customHeight="1">
      <c r="A726" s="19">
        <v>45622.0</v>
      </c>
      <c r="B726" s="16" t="s">
        <v>14</v>
      </c>
      <c r="C726" s="16" t="str">
        <f t="shared" si="1"/>
        <v>Bogotá</v>
      </c>
      <c r="D726" s="16" t="str">
        <f t="shared" si="2"/>
        <v>Bogotá</v>
      </c>
      <c r="E726" s="16" t="str">
        <f t="shared" si="3"/>
        <v>Bogotá</v>
      </c>
      <c r="F726" s="16" t="s">
        <v>85</v>
      </c>
      <c r="G726" s="17" t="str">
        <f>IFERROR(__xludf.DUMMYFUNCTION("SPLIT(F726:F1725,""-"") "),"Teléfono")</f>
        <v>Teléfono</v>
      </c>
      <c r="H726" s="16" t="str">
        <f>IFERROR(__xludf.DUMMYFUNCTION("""COMPUTED_VALUE"""),"Gama media")</f>
        <v>Gama media</v>
      </c>
      <c r="I726" s="16" t="str">
        <f>IFERROR(__xludf.DUMMYFUNCTION("""COMPUTED_VALUE"""),"32GB")</f>
        <v>32GB</v>
      </c>
      <c r="J726" s="18">
        <v>2210.34</v>
      </c>
      <c r="K726" s="16">
        <v>3.0</v>
      </c>
      <c r="L726" s="18">
        <v>6631.02</v>
      </c>
      <c r="M726" s="16" t="s">
        <v>1529</v>
      </c>
      <c r="N726" s="16" t="s">
        <v>1530</v>
      </c>
      <c r="O726" s="16" t="s">
        <v>1531</v>
      </c>
    </row>
    <row r="727" ht="15.75" customHeight="1">
      <c r="A727" s="23">
        <v>45547.0</v>
      </c>
      <c r="B727" s="16" t="s">
        <v>2359</v>
      </c>
      <c r="C727" s="16" t="str">
        <f t="shared" si="1"/>
        <v>Ciudad De M√©Xico</v>
      </c>
      <c r="D727" s="16" t="str">
        <f t="shared" si="2"/>
        <v>Ciudad De M√©Xico</v>
      </c>
      <c r="E727" s="16" t="str">
        <f t="shared" si="3"/>
        <v>Ciudad De MéXico</v>
      </c>
      <c r="F727" s="16" t="s">
        <v>272</v>
      </c>
      <c r="G727" s="17" t="str">
        <f>IFERROR(__xludf.DUMMYFUNCTION("SPLIT(F727:F1726,""-"") "),"Teléfono")</f>
        <v>Teléfono</v>
      </c>
      <c r="H727" s="16" t="str">
        <f>IFERROR(__xludf.DUMMYFUNCTION("""COMPUTED_VALUE"""),"Gama baja")</f>
        <v>Gama baja</v>
      </c>
      <c r="I727" s="16" t="str">
        <f>IFERROR(__xludf.DUMMYFUNCTION("""COMPUTED_VALUE"""),"32GB")</f>
        <v>32GB</v>
      </c>
      <c r="J727" s="18">
        <v>1125.48</v>
      </c>
      <c r="K727" s="16">
        <v>2.0</v>
      </c>
      <c r="L727" s="18">
        <v>2250.96</v>
      </c>
      <c r="M727" s="16" t="s">
        <v>2911</v>
      </c>
      <c r="N727" s="16" t="s">
        <v>2912</v>
      </c>
      <c r="O727" s="16" t="s">
        <v>2913</v>
      </c>
    </row>
    <row r="728" ht="15.75" customHeight="1">
      <c r="A728" s="19">
        <v>45578.0</v>
      </c>
      <c r="B728" s="16" t="s">
        <v>2359</v>
      </c>
      <c r="C728" s="16" t="str">
        <f t="shared" si="1"/>
        <v>Ciudad De M√©Xico</v>
      </c>
      <c r="D728" s="16" t="str">
        <f t="shared" si="2"/>
        <v>Ciudad De M√©Xico</v>
      </c>
      <c r="E728" s="16" t="str">
        <f t="shared" si="3"/>
        <v>Ciudad De MéXico</v>
      </c>
      <c r="F728" s="16" t="s">
        <v>15</v>
      </c>
      <c r="G728" s="17" t="str">
        <f>IFERROR(__xludf.DUMMYFUNCTION("SPLIT(F728:F1727,""-"") "),"Auriculares")</f>
        <v>Auriculares</v>
      </c>
      <c r="H728" s="16" t="str">
        <f>IFERROR(__xludf.DUMMYFUNCTION("""COMPUTED_VALUE"""),"Con cable")</f>
        <v>Con cable</v>
      </c>
      <c r="I728" s="16" t="str">
        <f>IFERROR(__xludf.DUMMYFUNCTION("""COMPUTED_VALUE"""),"32GB")</f>
        <v>32GB</v>
      </c>
      <c r="J728" s="18">
        <v>142.14</v>
      </c>
      <c r="K728" s="16">
        <v>3.0</v>
      </c>
      <c r="L728" s="18">
        <v>426.42</v>
      </c>
      <c r="M728" s="16" t="s">
        <v>200</v>
      </c>
      <c r="N728" s="16" t="s">
        <v>201</v>
      </c>
      <c r="O728" s="16" t="s">
        <v>202</v>
      </c>
    </row>
    <row r="729" ht="15.75" customHeight="1">
      <c r="A729" s="23">
        <v>45514.0</v>
      </c>
      <c r="B729" s="16" t="s">
        <v>9</v>
      </c>
      <c r="C729" s="16" t="str">
        <f t="shared" si="1"/>
        <v>Monterrey</v>
      </c>
      <c r="D729" s="16" t="str">
        <f t="shared" si="2"/>
        <v>Monterrey</v>
      </c>
      <c r="E729" s="16" t="str">
        <f t="shared" si="3"/>
        <v>Monterrey</v>
      </c>
      <c r="F729" s="16" t="s">
        <v>132</v>
      </c>
      <c r="G729" s="17" t="str">
        <f>IFERROR(__xludf.DUMMYFUNCTION("SPLIT(F729:F1728,""-"") "),"Tablet")</f>
        <v>Tablet</v>
      </c>
      <c r="H729" s="16" t="str">
        <f>IFERROR(__xludf.DUMMYFUNCTION("""COMPUTED_VALUE"""),"Pro")</f>
        <v>Pro</v>
      </c>
      <c r="I729" s="16" t="str">
        <f>IFERROR(__xludf.DUMMYFUNCTION("""COMPUTED_VALUE"""),"8GB")</f>
        <v>8GB</v>
      </c>
      <c r="J729" s="18">
        <v>66.73</v>
      </c>
      <c r="K729" s="16">
        <v>4.0</v>
      </c>
      <c r="L729" s="18">
        <v>266.92</v>
      </c>
      <c r="M729" s="16" t="s">
        <v>2914</v>
      </c>
      <c r="N729" s="16" t="s">
        <v>2915</v>
      </c>
      <c r="O729" s="16" t="s">
        <v>2916</v>
      </c>
    </row>
    <row r="730" ht="15.75" customHeight="1">
      <c r="A730" s="23">
        <v>45301.0</v>
      </c>
      <c r="B730" s="16" t="s">
        <v>75</v>
      </c>
      <c r="C730" s="16" t="str">
        <f t="shared" si="1"/>
        <v>Cali</v>
      </c>
      <c r="D730" s="16" t="str">
        <f t="shared" si="2"/>
        <v>Cali</v>
      </c>
      <c r="E730" s="16" t="str">
        <f t="shared" si="3"/>
        <v>Cali</v>
      </c>
      <c r="F730" s="16" t="s">
        <v>10</v>
      </c>
      <c r="G730" s="17" t="str">
        <f>IFERROR(__xludf.DUMMYFUNCTION("SPLIT(F730:F1729,""-"") "),"Tablet")</f>
        <v>Tablet</v>
      </c>
      <c r="H730" s="16" t="str">
        <f>IFERROR(__xludf.DUMMYFUNCTION("""COMPUTED_VALUE"""),"Estándar")</f>
        <v>Estándar</v>
      </c>
      <c r="I730" s="16" t="str">
        <f>IFERROR(__xludf.DUMMYFUNCTION("""COMPUTED_VALUE"""),"8GB")</f>
        <v>8GB</v>
      </c>
      <c r="J730" s="18">
        <v>1021.75</v>
      </c>
      <c r="K730" s="16">
        <v>2.0</v>
      </c>
      <c r="L730" s="18">
        <v>2043.5</v>
      </c>
      <c r="M730" s="16" t="s">
        <v>2917</v>
      </c>
      <c r="N730" s="16" t="s">
        <v>2918</v>
      </c>
      <c r="O730" s="16" t="s">
        <v>2919</v>
      </c>
    </row>
    <row r="731" ht="15.75" customHeight="1">
      <c r="A731" s="19">
        <v>45655.0</v>
      </c>
      <c r="B731" s="16" t="s">
        <v>9</v>
      </c>
      <c r="C731" s="16" t="str">
        <f t="shared" si="1"/>
        <v>Monterrey</v>
      </c>
      <c r="D731" s="16" t="str">
        <f t="shared" si="2"/>
        <v>Monterrey</v>
      </c>
      <c r="E731" s="16" t="str">
        <f t="shared" si="3"/>
        <v>Monterrey</v>
      </c>
      <c r="F731" s="16" t="s">
        <v>163</v>
      </c>
      <c r="G731" s="17" t="str">
        <f>IFERROR(__xludf.DUMMYFUNCTION("SPLIT(F731:F1730,""-"") "),"Laptop")</f>
        <v>Laptop</v>
      </c>
      <c r="H731" s="16" t="str">
        <f>IFERROR(__xludf.DUMMYFUNCTION("""COMPUTED_VALUE"""),"Oficina")</f>
        <v>Oficina</v>
      </c>
      <c r="I731" s="16" t="str">
        <f>IFERROR(__xludf.DUMMYFUNCTION("""COMPUTED_VALUE"""),"32GB")</f>
        <v>32GB</v>
      </c>
      <c r="J731" s="18">
        <v>620.05</v>
      </c>
      <c r="K731" s="16">
        <v>5.0</v>
      </c>
      <c r="L731" s="18">
        <v>3100.25</v>
      </c>
      <c r="M731" s="16" t="s">
        <v>2297</v>
      </c>
      <c r="N731" s="16" t="s">
        <v>2298</v>
      </c>
      <c r="O731" s="16" t="s">
        <v>2299</v>
      </c>
    </row>
    <row r="732" ht="15.75" customHeight="1">
      <c r="A732" s="23">
        <v>45483.0</v>
      </c>
      <c r="B732" s="16" t="s">
        <v>14</v>
      </c>
      <c r="C732" s="16" t="str">
        <f t="shared" si="1"/>
        <v>Bogotá</v>
      </c>
      <c r="D732" s="16" t="str">
        <f t="shared" si="2"/>
        <v>Bogotá</v>
      </c>
      <c r="E732" s="16" t="str">
        <f t="shared" si="3"/>
        <v>Bogotá</v>
      </c>
      <c r="F732" s="16" t="s">
        <v>117</v>
      </c>
      <c r="G732" s="17" t="str">
        <f>IFERROR(__xludf.DUMMYFUNCTION("SPLIT(F732:F1731,""-"") "),"Teléfono")</f>
        <v>Teléfono</v>
      </c>
      <c r="H732" s="16" t="str">
        <f>IFERROR(__xludf.DUMMYFUNCTION("""COMPUTED_VALUE"""),"Gama baja")</f>
        <v>Gama baja</v>
      </c>
      <c r="I732" s="16" t="str">
        <f>IFERROR(__xludf.DUMMYFUNCTION("""COMPUTED_VALUE"""),"16GB")</f>
        <v>16GB</v>
      </c>
      <c r="J732" s="18">
        <v>1588.14</v>
      </c>
      <c r="K732" s="16">
        <v>4.0</v>
      </c>
      <c r="L732" s="18">
        <v>6352.56</v>
      </c>
      <c r="M732" s="16" t="s">
        <v>2920</v>
      </c>
      <c r="N732" s="16" t="s">
        <v>2921</v>
      </c>
      <c r="O732" s="21" t="s">
        <v>2922</v>
      </c>
    </row>
    <row r="733" ht="15.75" customHeight="1">
      <c r="A733" s="23">
        <v>45514.0</v>
      </c>
      <c r="B733" s="16" t="s">
        <v>2359</v>
      </c>
      <c r="C733" s="16" t="str">
        <f t="shared" si="1"/>
        <v>Ciudad De M√©Xico</v>
      </c>
      <c r="D733" s="16" t="str">
        <f t="shared" si="2"/>
        <v>Ciudad De M√©Xico</v>
      </c>
      <c r="E733" s="16" t="str">
        <f t="shared" si="3"/>
        <v>Ciudad De MéXico</v>
      </c>
      <c r="F733" s="16" t="s">
        <v>85</v>
      </c>
      <c r="G733" s="17" t="str">
        <f>IFERROR(__xludf.DUMMYFUNCTION("SPLIT(F733:F1732,""-"") "),"Teléfono")</f>
        <v>Teléfono</v>
      </c>
      <c r="H733" s="16" t="str">
        <f>IFERROR(__xludf.DUMMYFUNCTION("""COMPUTED_VALUE"""),"Gama media")</f>
        <v>Gama media</v>
      </c>
      <c r="I733" s="16" t="str">
        <f>IFERROR(__xludf.DUMMYFUNCTION("""COMPUTED_VALUE"""),"32GB")</f>
        <v>32GB</v>
      </c>
      <c r="J733" s="18">
        <v>379.46</v>
      </c>
      <c r="K733" s="16">
        <v>5.0</v>
      </c>
      <c r="L733" s="18">
        <v>1897.3</v>
      </c>
      <c r="M733" s="16" t="s">
        <v>2923</v>
      </c>
      <c r="N733" s="16" t="s">
        <v>2924</v>
      </c>
      <c r="O733" s="16" t="s">
        <v>2925</v>
      </c>
    </row>
    <row r="734" ht="15.75" customHeight="1">
      <c r="A734" s="23">
        <v>45453.0</v>
      </c>
      <c r="B734" s="16" t="s">
        <v>75</v>
      </c>
      <c r="C734" s="16" t="str">
        <f t="shared" si="1"/>
        <v>Cali</v>
      </c>
      <c r="D734" s="16" t="str">
        <f t="shared" si="2"/>
        <v>Cali</v>
      </c>
      <c r="E734" s="16" t="str">
        <f t="shared" si="3"/>
        <v>Cali</v>
      </c>
      <c r="F734" s="16" t="s">
        <v>31</v>
      </c>
      <c r="G734" s="17" t="str">
        <f>IFERROR(__xludf.DUMMYFUNCTION("SPLIT(F734:F1733,""-"") "),"Teléfono")</f>
        <v>Teléfono</v>
      </c>
      <c r="H734" s="16" t="str">
        <f>IFERROR(__xludf.DUMMYFUNCTION("""COMPUTED_VALUE"""),"Gama alta")</f>
        <v>Gama alta</v>
      </c>
      <c r="I734" s="16" t="str">
        <f>IFERROR(__xludf.DUMMYFUNCTION("""COMPUTED_VALUE"""),"32GB")</f>
        <v>32GB</v>
      </c>
      <c r="J734" s="18">
        <v>495.86</v>
      </c>
      <c r="K734" s="16">
        <v>1.0</v>
      </c>
      <c r="L734" s="18">
        <v>495.86</v>
      </c>
      <c r="M734" s="16" t="s">
        <v>2926</v>
      </c>
      <c r="N734" s="16" t="s">
        <v>2927</v>
      </c>
      <c r="O734" s="16" t="s">
        <v>2928</v>
      </c>
    </row>
    <row r="735" ht="15.75" customHeight="1">
      <c r="A735" s="19">
        <v>45593.0</v>
      </c>
      <c r="B735" s="16" t="s">
        <v>58</v>
      </c>
      <c r="C735" s="16" t="str">
        <f t="shared" si="1"/>
        <v>Guadalajara</v>
      </c>
      <c r="D735" s="16" t="str">
        <f t="shared" si="2"/>
        <v>Guadalajara</v>
      </c>
      <c r="E735" s="16" t="str">
        <f t="shared" si="3"/>
        <v>Guadalajara</v>
      </c>
      <c r="F735" s="16" t="s">
        <v>272</v>
      </c>
      <c r="G735" s="17" t="str">
        <f>IFERROR(__xludf.DUMMYFUNCTION("SPLIT(F735:F1734,""-"") "),"Teléfono")</f>
        <v>Teléfono</v>
      </c>
      <c r="H735" s="16" t="str">
        <f>IFERROR(__xludf.DUMMYFUNCTION("""COMPUTED_VALUE"""),"Gama baja")</f>
        <v>Gama baja</v>
      </c>
      <c r="I735" s="16" t="str">
        <f>IFERROR(__xludf.DUMMYFUNCTION("""COMPUTED_VALUE"""),"32GB")</f>
        <v>32GB</v>
      </c>
      <c r="J735" s="18">
        <v>1010.17</v>
      </c>
      <c r="K735" s="16">
        <v>1.0</v>
      </c>
      <c r="L735" s="18">
        <v>1010.17</v>
      </c>
      <c r="M735" s="16" t="s">
        <v>718</v>
      </c>
      <c r="N735" s="16" t="s">
        <v>719</v>
      </c>
      <c r="O735" s="16" t="s">
        <v>720</v>
      </c>
    </row>
    <row r="736" ht="15.75" customHeight="1">
      <c r="A736" s="19">
        <v>45611.0</v>
      </c>
      <c r="B736" s="16" t="s">
        <v>14</v>
      </c>
      <c r="C736" s="16" t="str">
        <f t="shared" si="1"/>
        <v>Bogotá</v>
      </c>
      <c r="D736" s="16" t="str">
        <f t="shared" si="2"/>
        <v>Bogotá</v>
      </c>
      <c r="E736" s="16" t="str">
        <f t="shared" si="3"/>
        <v>Bogotá</v>
      </c>
      <c r="F736" s="16" t="s">
        <v>163</v>
      </c>
      <c r="G736" s="17" t="str">
        <f>IFERROR(__xludf.DUMMYFUNCTION("SPLIT(F736:F1735,""-"") "),"Laptop")</f>
        <v>Laptop</v>
      </c>
      <c r="H736" s="16" t="str">
        <f>IFERROR(__xludf.DUMMYFUNCTION("""COMPUTED_VALUE"""),"Oficina")</f>
        <v>Oficina</v>
      </c>
      <c r="I736" s="16" t="str">
        <f>IFERROR(__xludf.DUMMYFUNCTION("""COMPUTED_VALUE"""),"32GB")</f>
        <v>32GB</v>
      </c>
      <c r="J736" s="18">
        <v>969.37</v>
      </c>
      <c r="K736" s="16">
        <v>3.0</v>
      </c>
      <c r="L736" s="18">
        <v>2908.11</v>
      </c>
      <c r="M736" s="16" t="s">
        <v>1137</v>
      </c>
      <c r="N736" s="16" t="s">
        <v>1138</v>
      </c>
      <c r="O736" s="16" t="s">
        <v>1139</v>
      </c>
    </row>
    <row r="737" ht="15.75" customHeight="1">
      <c r="A737" s="19">
        <v>45581.0</v>
      </c>
      <c r="B737" s="16" t="s">
        <v>2359</v>
      </c>
      <c r="C737" s="16" t="str">
        <f t="shared" si="1"/>
        <v>Ciudad De M√©Xico</v>
      </c>
      <c r="D737" s="16" t="str">
        <f t="shared" si="2"/>
        <v>Ciudad De M√©Xico</v>
      </c>
      <c r="E737" s="16" t="str">
        <f t="shared" si="3"/>
        <v>Ciudad De MéXico</v>
      </c>
      <c r="F737" s="16" t="s">
        <v>90</v>
      </c>
      <c r="G737" s="17" t="str">
        <f>IFERROR(__xludf.DUMMYFUNCTION("SPLIT(F737:F1736,""-"") "),"Laptop")</f>
        <v>Laptop</v>
      </c>
      <c r="H737" s="16" t="str">
        <f>IFERROR(__xludf.DUMMYFUNCTION("""COMPUTED_VALUE"""),"Gaming")</f>
        <v>Gaming</v>
      </c>
      <c r="I737" s="16" t="str">
        <f>IFERROR(__xludf.DUMMYFUNCTION("""COMPUTED_VALUE"""),"32GB")</f>
        <v>32GB</v>
      </c>
      <c r="J737" s="18">
        <v>100.75</v>
      </c>
      <c r="K737" s="16">
        <v>1.0</v>
      </c>
      <c r="L737" s="18">
        <v>100.75</v>
      </c>
      <c r="M737" s="16" t="s">
        <v>338</v>
      </c>
      <c r="N737" s="16" t="s">
        <v>339</v>
      </c>
      <c r="O737" s="16" t="s">
        <v>340</v>
      </c>
    </row>
    <row r="738" ht="15.75" customHeight="1">
      <c r="A738" s="19">
        <v>45590.0</v>
      </c>
      <c r="B738" s="16" t="s">
        <v>58</v>
      </c>
      <c r="C738" s="16" t="str">
        <f t="shared" si="1"/>
        <v>Guadalajara</v>
      </c>
      <c r="D738" s="16" t="str">
        <f t="shared" si="2"/>
        <v>Guadalajara</v>
      </c>
      <c r="E738" s="16" t="str">
        <f t="shared" si="3"/>
        <v>Guadalajara</v>
      </c>
      <c r="F738" s="16" t="s">
        <v>430</v>
      </c>
      <c r="G738" s="17" t="str">
        <f>IFERROR(__xludf.DUMMYFUNCTION("SPLIT(F738:F1737,""-"") "),"Teléfono")</f>
        <v>Teléfono</v>
      </c>
      <c r="H738" s="16" t="str">
        <f>IFERROR(__xludf.DUMMYFUNCTION("""COMPUTED_VALUE"""),"Gama alta")</f>
        <v>Gama alta</v>
      </c>
      <c r="I738" s="16" t="str">
        <f>IFERROR(__xludf.DUMMYFUNCTION("""COMPUTED_VALUE"""),"4GB")</f>
        <v>4GB</v>
      </c>
      <c r="J738" s="18">
        <v>2242.64</v>
      </c>
      <c r="K738" s="16">
        <v>4.0</v>
      </c>
      <c r="L738" s="18">
        <v>8970.56</v>
      </c>
      <c r="M738" s="16" t="s">
        <v>632</v>
      </c>
      <c r="N738" s="16" t="s">
        <v>633</v>
      </c>
      <c r="O738" s="16" t="s">
        <v>634</v>
      </c>
    </row>
    <row r="739" ht="15.75" customHeight="1">
      <c r="A739" s="23">
        <v>45483.0</v>
      </c>
      <c r="B739" s="16" t="s">
        <v>9</v>
      </c>
      <c r="C739" s="16" t="str">
        <f t="shared" si="1"/>
        <v>Monterrey</v>
      </c>
      <c r="D739" s="16" t="str">
        <f t="shared" si="2"/>
        <v>Monterrey</v>
      </c>
      <c r="E739" s="16" t="str">
        <f t="shared" si="3"/>
        <v>Monterrey</v>
      </c>
      <c r="F739" s="16" t="s">
        <v>430</v>
      </c>
      <c r="G739" s="17" t="str">
        <f>IFERROR(__xludf.DUMMYFUNCTION("SPLIT(F739:F1738,""-"") "),"Teléfono")</f>
        <v>Teléfono</v>
      </c>
      <c r="H739" s="16" t="str">
        <f>IFERROR(__xludf.DUMMYFUNCTION("""COMPUTED_VALUE"""),"Gama alta")</f>
        <v>Gama alta</v>
      </c>
      <c r="I739" s="16" t="str">
        <f>IFERROR(__xludf.DUMMYFUNCTION("""COMPUTED_VALUE"""),"4GB")</f>
        <v>4GB</v>
      </c>
      <c r="J739" s="18">
        <v>774.69</v>
      </c>
      <c r="K739" s="16">
        <v>1.0</v>
      </c>
      <c r="L739" s="18">
        <v>774.69</v>
      </c>
      <c r="M739" s="16" t="s">
        <v>2929</v>
      </c>
      <c r="N739" s="16" t="s">
        <v>2930</v>
      </c>
      <c r="O739" s="16" t="s">
        <v>2931</v>
      </c>
    </row>
    <row r="740" ht="15.75" customHeight="1">
      <c r="A740" s="23">
        <v>45363.0</v>
      </c>
      <c r="B740" s="16" t="s">
        <v>2359</v>
      </c>
      <c r="C740" s="16" t="str">
        <f t="shared" si="1"/>
        <v>Ciudad De M√©Xico</v>
      </c>
      <c r="D740" s="16" t="str">
        <f t="shared" si="2"/>
        <v>Ciudad De M√©Xico</v>
      </c>
      <c r="E740" s="16" t="str">
        <f t="shared" si="3"/>
        <v>Ciudad De MéXico</v>
      </c>
      <c r="F740" s="16" t="s">
        <v>31</v>
      </c>
      <c r="G740" s="17" t="str">
        <f>IFERROR(__xludf.DUMMYFUNCTION("SPLIT(F740:F1739,""-"") "),"Teléfono")</f>
        <v>Teléfono</v>
      </c>
      <c r="H740" s="16" t="str">
        <f>IFERROR(__xludf.DUMMYFUNCTION("""COMPUTED_VALUE"""),"Gama alta")</f>
        <v>Gama alta</v>
      </c>
      <c r="I740" s="16" t="str">
        <f>IFERROR(__xludf.DUMMYFUNCTION("""COMPUTED_VALUE"""),"32GB")</f>
        <v>32GB</v>
      </c>
      <c r="J740" s="18">
        <v>535.75</v>
      </c>
      <c r="K740" s="16">
        <v>2.0</v>
      </c>
      <c r="L740" s="18">
        <v>1071.5</v>
      </c>
      <c r="M740" s="16" t="s">
        <v>2932</v>
      </c>
      <c r="N740" s="16" t="s">
        <v>2933</v>
      </c>
      <c r="O740" s="16" t="s">
        <v>2934</v>
      </c>
    </row>
    <row r="741" ht="15.75" customHeight="1">
      <c r="A741" s="19">
        <v>45611.0</v>
      </c>
      <c r="B741" s="16" t="s">
        <v>58</v>
      </c>
      <c r="C741" s="16" t="str">
        <f t="shared" si="1"/>
        <v>Guadalajara</v>
      </c>
      <c r="D741" s="16" t="str">
        <f t="shared" si="2"/>
        <v>Guadalajara</v>
      </c>
      <c r="E741" s="16" t="str">
        <f t="shared" si="3"/>
        <v>Guadalajara</v>
      </c>
      <c r="F741" s="16" t="s">
        <v>132</v>
      </c>
      <c r="G741" s="17" t="str">
        <f>IFERROR(__xludf.DUMMYFUNCTION("SPLIT(F741:F1740,""-"") "),"Tablet")</f>
        <v>Tablet</v>
      </c>
      <c r="H741" s="16" t="str">
        <f>IFERROR(__xludf.DUMMYFUNCTION("""COMPUTED_VALUE"""),"Pro")</f>
        <v>Pro</v>
      </c>
      <c r="I741" s="16" t="str">
        <f>IFERROR(__xludf.DUMMYFUNCTION("""COMPUTED_VALUE"""),"8GB")</f>
        <v>8GB</v>
      </c>
      <c r="J741" s="18">
        <v>1318.47</v>
      </c>
      <c r="K741" s="16">
        <v>1.0</v>
      </c>
      <c r="L741" s="18">
        <v>1318.47</v>
      </c>
      <c r="M741" s="16" t="s">
        <v>1140</v>
      </c>
      <c r="N741" s="16" t="s">
        <v>1141</v>
      </c>
      <c r="O741" s="16" t="s">
        <v>1142</v>
      </c>
    </row>
    <row r="742" ht="15.75" customHeight="1">
      <c r="A742" s="19">
        <v>45642.0</v>
      </c>
      <c r="B742" s="16" t="s">
        <v>75</v>
      </c>
      <c r="C742" s="16" t="str">
        <f t="shared" si="1"/>
        <v>Cali</v>
      </c>
      <c r="D742" s="16" t="str">
        <f t="shared" si="2"/>
        <v>Cali</v>
      </c>
      <c r="E742" s="16" t="str">
        <f t="shared" si="3"/>
        <v>Cali</v>
      </c>
      <c r="F742" s="16" t="s">
        <v>399</v>
      </c>
      <c r="G742" s="17" t="str">
        <f>IFERROR(__xludf.DUMMYFUNCTION("SPLIT(F742:F1741,""-"") "),"Laptop")</f>
        <v>Laptop</v>
      </c>
      <c r="H742" s="16" t="str">
        <f>IFERROR(__xludf.DUMMYFUNCTION("""COMPUTED_VALUE"""),"Gaming")</f>
        <v>Gaming</v>
      </c>
      <c r="I742" s="16" t="str">
        <f>IFERROR(__xludf.DUMMYFUNCTION("""COMPUTED_VALUE"""),"4GB")</f>
        <v>4GB</v>
      </c>
      <c r="J742" s="18">
        <v>1711.88</v>
      </c>
      <c r="K742" s="16">
        <v>2.0</v>
      </c>
      <c r="L742" s="18">
        <v>3423.76</v>
      </c>
      <c r="M742" s="16" t="s">
        <v>1900</v>
      </c>
      <c r="N742" s="16" t="s">
        <v>1901</v>
      </c>
      <c r="O742" s="16" t="s">
        <v>1902</v>
      </c>
    </row>
    <row r="743" ht="15.75" customHeight="1">
      <c r="A743" s="23">
        <v>45301.0</v>
      </c>
      <c r="B743" s="16" t="s">
        <v>35</v>
      </c>
      <c r="C743" s="16" t="str">
        <f t="shared" si="1"/>
        <v>Medellín</v>
      </c>
      <c r="D743" s="16" t="str">
        <f t="shared" si="2"/>
        <v>Medellín</v>
      </c>
      <c r="E743" s="16" t="str">
        <f t="shared" si="3"/>
        <v>Medellín</v>
      </c>
      <c r="F743" s="16" t="s">
        <v>233</v>
      </c>
      <c r="G743" s="17" t="str">
        <f>IFERROR(__xludf.DUMMYFUNCTION("SPLIT(F743:F1742,""-"") "),"Tablet")</f>
        <v>Tablet</v>
      </c>
      <c r="H743" s="16" t="str">
        <f>IFERROR(__xludf.DUMMYFUNCTION("""COMPUTED_VALUE"""),"Mini")</f>
        <v>Mini</v>
      </c>
      <c r="I743" s="16" t="str">
        <f>IFERROR(__xludf.DUMMYFUNCTION("""COMPUTED_VALUE"""),"16GB")</f>
        <v>16GB</v>
      </c>
      <c r="J743" s="18">
        <v>1756.32</v>
      </c>
      <c r="K743" s="16">
        <v>4.0</v>
      </c>
      <c r="L743" s="18">
        <v>7025.28</v>
      </c>
      <c r="M743" s="16" t="s">
        <v>2935</v>
      </c>
      <c r="N743" s="16" t="s">
        <v>2936</v>
      </c>
      <c r="O743" s="16" t="s">
        <v>2937</v>
      </c>
    </row>
    <row r="744" ht="15.75" customHeight="1">
      <c r="A744" s="23">
        <v>45303.0</v>
      </c>
      <c r="B744" s="16" t="s">
        <v>75</v>
      </c>
      <c r="C744" s="16" t="str">
        <f t="shared" si="1"/>
        <v>Cali</v>
      </c>
      <c r="D744" s="16" t="str">
        <f t="shared" si="2"/>
        <v>Cali</v>
      </c>
      <c r="E744" s="16" t="str">
        <f t="shared" si="3"/>
        <v>Cali</v>
      </c>
      <c r="F744" s="16" t="s">
        <v>121</v>
      </c>
      <c r="G744" s="17" t="str">
        <f>IFERROR(__xludf.DUMMYFUNCTION("SPLIT(F744:F1743,""-"") "),"Teléfono")</f>
        <v>Teléfono</v>
      </c>
      <c r="H744" s="16" t="str">
        <f>IFERROR(__xludf.DUMMYFUNCTION("""COMPUTED_VALUE"""),"Gama alta")</f>
        <v>Gama alta</v>
      </c>
      <c r="I744" s="16" t="str">
        <f>IFERROR(__xludf.DUMMYFUNCTION("""COMPUTED_VALUE"""),"8GB")</f>
        <v>8GB</v>
      </c>
      <c r="J744" s="18">
        <v>2143.37</v>
      </c>
      <c r="K744" s="16">
        <v>3.0</v>
      </c>
      <c r="L744" s="18">
        <v>6430.11</v>
      </c>
      <c r="M744" s="16" t="s">
        <v>2938</v>
      </c>
      <c r="N744" s="16" t="s">
        <v>2939</v>
      </c>
      <c r="O744" s="16" t="s">
        <v>2940</v>
      </c>
    </row>
    <row r="745" ht="15.75" customHeight="1">
      <c r="A745" s="19">
        <v>45646.0</v>
      </c>
      <c r="B745" s="16" t="s">
        <v>35</v>
      </c>
      <c r="C745" s="16" t="str">
        <f t="shared" si="1"/>
        <v>Medellín</v>
      </c>
      <c r="D745" s="16" t="str">
        <f t="shared" si="2"/>
        <v>Medellín</v>
      </c>
      <c r="E745" s="16" t="str">
        <f t="shared" si="3"/>
        <v>Medellín</v>
      </c>
      <c r="F745" s="16" t="s">
        <v>666</v>
      </c>
      <c r="G745" s="17" t="str">
        <f>IFERROR(__xludf.DUMMYFUNCTION("SPLIT(F745:F1744,""-"") "),"Auriculares")</f>
        <v>Auriculares</v>
      </c>
      <c r="H745" s="16" t="str">
        <f>IFERROR(__xludf.DUMMYFUNCTION("""COMPUTED_VALUE"""),"Cancelación de ruido")</f>
        <v>Cancelación de ruido</v>
      </c>
      <c r="I745" s="16" t="str">
        <f>IFERROR(__xludf.DUMMYFUNCTION("""COMPUTED_VALUE"""),"32GB")</f>
        <v>32GB</v>
      </c>
      <c r="J745" s="18">
        <v>769.01</v>
      </c>
      <c r="K745" s="16">
        <v>5.0</v>
      </c>
      <c r="L745" s="18">
        <v>3845.05</v>
      </c>
      <c r="M745" s="16" t="s">
        <v>2017</v>
      </c>
      <c r="N745" s="16" t="s">
        <v>2018</v>
      </c>
      <c r="O745" s="16" t="s">
        <v>2019</v>
      </c>
    </row>
    <row r="746" ht="15.75" customHeight="1">
      <c r="A746" s="19">
        <v>45616.0</v>
      </c>
      <c r="B746" s="16" t="s">
        <v>35</v>
      </c>
      <c r="C746" s="16" t="str">
        <f t="shared" si="1"/>
        <v>Medellín</v>
      </c>
      <c r="D746" s="16" t="str">
        <f t="shared" si="2"/>
        <v>Medellín</v>
      </c>
      <c r="E746" s="16" t="str">
        <f t="shared" si="3"/>
        <v>Medellín</v>
      </c>
      <c r="F746" s="16" t="s">
        <v>67</v>
      </c>
      <c r="G746" s="17" t="str">
        <f>IFERROR(__xludf.DUMMYFUNCTION("SPLIT(F746:F1745,""-"") "),"Tablet")</f>
        <v>Tablet</v>
      </c>
      <c r="H746" s="16" t="str">
        <f>IFERROR(__xludf.DUMMYFUNCTION("""COMPUTED_VALUE"""),"Estándar")</f>
        <v>Estándar</v>
      </c>
      <c r="I746" s="16" t="str">
        <f>IFERROR(__xludf.DUMMYFUNCTION("""COMPUTED_VALUE"""),"4GB")</f>
        <v>4GB</v>
      </c>
      <c r="J746" s="18">
        <v>269.57</v>
      </c>
      <c r="K746" s="16">
        <v>5.0</v>
      </c>
      <c r="L746" s="18">
        <v>1347.85</v>
      </c>
      <c r="M746" s="16" t="s">
        <v>1317</v>
      </c>
      <c r="N746" s="16" t="s">
        <v>1318</v>
      </c>
      <c r="O746" s="16" t="s">
        <v>1319</v>
      </c>
    </row>
    <row r="747" ht="15.75" customHeight="1">
      <c r="A747" s="19">
        <v>45615.0</v>
      </c>
      <c r="B747" s="16" t="s">
        <v>2359</v>
      </c>
      <c r="C747" s="16" t="str">
        <f t="shared" si="1"/>
        <v>Ciudad De M√©Xico</v>
      </c>
      <c r="D747" s="16" t="str">
        <f t="shared" si="2"/>
        <v>Ciudad De M√©Xico</v>
      </c>
      <c r="E747" s="16" t="str">
        <f t="shared" si="3"/>
        <v>Ciudad De MéXico</v>
      </c>
      <c r="F747" s="16" t="s">
        <v>153</v>
      </c>
      <c r="G747" s="17" t="str">
        <f>IFERROR(__xludf.DUMMYFUNCTION("SPLIT(F747:F1746,""-"") "),"Laptop")</f>
        <v>Laptop</v>
      </c>
      <c r="H747" s="16" t="str">
        <f>IFERROR(__xludf.DUMMYFUNCTION("""COMPUTED_VALUE"""),"Gaming")</f>
        <v>Gaming</v>
      </c>
      <c r="I747" s="16" t="str">
        <f>IFERROR(__xludf.DUMMYFUNCTION("""COMPUTED_VALUE"""),"8GB")</f>
        <v>8GB</v>
      </c>
      <c r="J747" s="18">
        <v>2185.04</v>
      </c>
      <c r="K747" s="16">
        <v>4.0</v>
      </c>
      <c r="L747" s="18">
        <v>8740.16</v>
      </c>
      <c r="M747" s="16" t="s">
        <v>1284</v>
      </c>
      <c r="N747" s="16" t="s">
        <v>1285</v>
      </c>
      <c r="O747" s="16" t="s">
        <v>1286</v>
      </c>
    </row>
    <row r="748" ht="15.75" customHeight="1">
      <c r="A748" s="19">
        <v>45648.0</v>
      </c>
      <c r="B748" s="16" t="s">
        <v>9</v>
      </c>
      <c r="C748" s="16" t="str">
        <f t="shared" si="1"/>
        <v>Monterrey</v>
      </c>
      <c r="D748" s="16" t="str">
        <f t="shared" si="2"/>
        <v>Monterrey</v>
      </c>
      <c r="E748" s="16" t="str">
        <f t="shared" si="3"/>
        <v>Monterrey</v>
      </c>
      <c r="F748" s="16" t="s">
        <v>233</v>
      </c>
      <c r="G748" s="17" t="str">
        <f>IFERROR(__xludf.DUMMYFUNCTION("SPLIT(F748:F1747,""-"") "),"Tablet")</f>
        <v>Tablet</v>
      </c>
      <c r="H748" s="16" t="str">
        <f>IFERROR(__xludf.DUMMYFUNCTION("""COMPUTED_VALUE"""),"Mini")</f>
        <v>Mini</v>
      </c>
      <c r="I748" s="16" t="str">
        <f>IFERROR(__xludf.DUMMYFUNCTION("""COMPUTED_VALUE"""),"16GB")</f>
        <v>16GB</v>
      </c>
      <c r="J748" s="18">
        <v>2251.92</v>
      </c>
      <c r="K748" s="16">
        <v>5.0</v>
      </c>
      <c r="L748" s="18">
        <v>11259.6</v>
      </c>
      <c r="M748" s="16" t="s">
        <v>2081</v>
      </c>
      <c r="N748" s="16" t="s">
        <v>2082</v>
      </c>
      <c r="O748" s="16" t="s">
        <v>2083</v>
      </c>
    </row>
    <row r="749" ht="15.75" customHeight="1">
      <c r="A749" s="23">
        <v>45484.0</v>
      </c>
      <c r="B749" s="16" t="s">
        <v>14</v>
      </c>
      <c r="C749" s="16" t="str">
        <f t="shared" si="1"/>
        <v>Bogotá</v>
      </c>
      <c r="D749" s="16" t="str">
        <f t="shared" si="2"/>
        <v>Bogotá</v>
      </c>
      <c r="E749" s="16" t="str">
        <f t="shared" si="3"/>
        <v>Bogotá</v>
      </c>
      <c r="F749" s="16" t="s">
        <v>272</v>
      </c>
      <c r="G749" s="17" t="str">
        <f>IFERROR(__xludf.DUMMYFUNCTION("SPLIT(F749:F1748,""-"") "),"Teléfono")</f>
        <v>Teléfono</v>
      </c>
      <c r="H749" s="16" t="str">
        <f>IFERROR(__xludf.DUMMYFUNCTION("""COMPUTED_VALUE"""),"Gama baja")</f>
        <v>Gama baja</v>
      </c>
      <c r="I749" s="16" t="str">
        <f>IFERROR(__xludf.DUMMYFUNCTION("""COMPUTED_VALUE"""),"32GB")</f>
        <v>32GB</v>
      </c>
      <c r="J749" s="18">
        <v>330.1</v>
      </c>
      <c r="K749" s="16">
        <v>4.0</v>
      </c>
      <c r="L749" s="18">
        <v>1320.4</v>
      </c>
      <c r="M749" s="16" t="s">
        <v>2941</v>
      </c>
      <c r="N749" s="16" t="s">
        <v>2942</v>
      </c>
      <c r="O749" s="16" t="s">
        <v>2943</v>
      </c>
    </row>
    <row r="750" ht="15.75" customHeight="1">
      <c r="A750" s="19">
        <v>45655.0</v>
      </c>
      <c r="B750" s="16" t="s">
        <v>75</v>
      </c>
      <c r="C750" s="16" t="str">
        <f t="shared" si="1"/>
        <v>Cali</v>
      </c>
      <c r="D750" s="16" t="str">
        <f t="shared" si="2"/>
        <v>Cali</v>
      </c>
      <c r="E750" s="16" t="str">
        <f t="shared" si="3"/>
        <v>Cali</v>
      </c>
      <c r="F750" s="16" t="s">
        <v>125</v>
      </c>
      <c r="G750" s="17" t="str">
        <f>IFERROR(__xludf.DUMMYFUNCTION("SPLIT(F750:F1749,""-"") "),"Tel√©fono")</f>
        <v>Tel√©fono</v>
      </c>
      <c r="H750" s="16" t="str">
        <f>IFERROR(__xludf.DUMMYFUNCTION("""COMPUTED_VALUE"""),"Gama media")</f>
        <v>Gama media</v>
      </c>
      <c r="I750" s="16" t="str">
        <f>IFERROR(__xludf.DUMMYFUNCTION("""COMPUTED_VALUE"""),"8GB")</f>
        <v>8GB</v>
      </c>
      <c r="J750" s="18">
        <v>1331.81</v>
      </c>
      <c r="K750" s="16">
        <v>3.0</v>
      </c>
      <c r="L750" s="18">
        <v>3995.43</v>
      </c>
      <c r="M750" s="16" t="s">
        <v>2300</v>
      </c>
      <c r="N750" s="16" t="s">
        <v>2301</v>
      </c>
      <c r="O750" s="16" t="s">
        <v>2302</v>
      </c>
    </row>
    <row r="751" ht="15.75" customHeight="1">
      <c r="A751" s="19">
        <v>45649.0</v>
      </c>
      <c r="B751" s="16" t="s">
        <v>75</v>
      </c>
      <c r="C751" s="16" t="str">
        <f t="shared" si="1"/>
        <v>Cali</v>
      </c>
      <c r="D751" s="16" t="str">
        <f t="shared" si="2"/>
        <v>Cali</v>
      </c>
      <c r="E751" s="16" t="str">
        <f t="shared" si="3"/>
        <v>Cali</v>
      </c>
      <c r="F751" s="16" t="s">
        <v>36</v>
      </c>
      <c r="G751" s="17" t="str">
        <f>IFERROR(__xludf.DUMMYFUNCTION("SPLIT(F751:F1750,""-"") "),"Tablet")</f>
        <v>Tablet</v>
      </c>
      <c r="H751" s="16" t="str">
        <f>IFERROR(__xludf.DUMMYFUNCTION("""COMPUTED_VALUE"""),"Pro")</f>
        <v>Pro</v>
      </c>
      <c r="I751" s="16" t="str">
        <f>IFERROR(__xludf.DUMMYFUNCTION("""COMPUTED_VALUE"""),"4GB")</f>
        <v>4GB</v>
      </c>
      <c r="J751" s="18">
        <v>2115.54</v>
      </c>
      <c r="K751" s="16">
        <v>5.0</v>
      </c>
      <c r="L751" s="18">
        <v>10577.7</v>
      </c>
      <c r="M751" s="16" t="s">
        <v>2117</v>
      </c>
      <c r="N751" s="16" t="s">
        <v>2118</v>
      </c>
      <c r="O751" s="16" t="s">
        <v>2119</v>
      </c>
    </row>
    <row r="752" ht="15.75" customHeight="1">
      <c r="A752" s="19">
        <v>45582.0</v>
      </c>
      <c r="B752" s="16" t="s">
        <v>58</v>
      </c>
      <c r="C752" s="16" t="str">
        <f t="shared" si="1"/>
        <v>Guadalajara</v>
      </c>
      <c r="D752" s="16" t="str">
        <f t="shared" si="2"/>
        <v>Guadalajara</v>
      </c>
      <c r="E752" s="16" t="str">
        <f t="shared" si="3"/>
        <v>Guadalajara</v>
      </c>
      <c r="F752" s="16" t="s">
        <v>171</v>
      </c>
      <c r="G752" s="17" t="str">
        <f>IFERROR(__xludf.DUMMYFUNCTION("SPLIT(F752:F1751,""-"") "),"Teléfono")</f>
        <v>Teléfono</v>
      </c>
      <c r="H752" s="16" t="str">
        <f>IFERROR(__xludf.DUMMYFUNCTION("""COMPUTED_VALUE"""),"Gama baja")</f>
        <v>Gama baja</v>
      </c>
      <c r="I752" s="16" t="str">
        <f>IFERROR(__xludf.DUMMYFUNCTION("""COMPUTED_VALUE"""),"4GB")</f>
        <v>4GB</v>
      </c>
      <c r="J752" s="18">
        <v>2411.28</v>
      </c>
      <c r="K752" s="16">
        <v>4.0</v>
      </c>
      <c r="L752" s="18">
        <v>9645.12</v>
      </c>
      <c r="M752" s="16" t="s">
        <v>377</v>
      </c>
      <c r="N752" s="16" t="s">
        <v>378</v>
      </c>
      <c r="O752" s="16" t="s">
        <v>379</v>
      </c>
    </row>
    <row r="753" ht="15.75" customHeight="1">
      <c r="A753" s="19">
        <v>45650.0</v>
      </c>
      <c r="B753" s="16" t="s">
        <v>35</v>
      </c>
      <c r="C753" s="16" t="str">
        <f t="shared" si="1"/>
        <v>Medellín</v>
      </c>
      <c r="D753" s="16" t="str">
        <f t="shared" si="2"/>
        <v>Medellín</v>
      </c>
      <c r="E753" s="16" t="str">
        <f t="shared" si="3"/>
        <v>Medellín</v>
      </c>
      <c r="F753" s="16" t="s">
        <v>121</v>
      </c>
      <c r="G753" s="17" t="str">
        <f>IFERROR(__xludf.DUMMYFUNCTION("SPLIT(F753:F1752,""-"") "),"Teléfono")</f>
        <v>Teléfono</v>
      </c>
      <c r="H753" s="16" t="str">
        <f>IFERROR(__xludf.DUMMYFUNCTION("""COMPUTED_VALUE"""),"Gama alta")</f>
        <v>Gama alta</v>
      </c>
      <c r="I753" s="16" t="str">
        <f>IFERROR(__xludf.DUMMYFUNCTION("""COMPUTED_VALUE"""),"8GB")</f>
        <v>8GB</v>
      </c>
      <c r="J753" s="18">
        <v>519.68</v>
      </c>
      <c r="K753" s="16">
        <v>5.0</v>
      </c>
      <c r="L753" s="18">
        <v>2598.4</v>
      </c>
      <c r="M753" s="16" t="s">
        <v>2150</v>
      </c>
      <c r="N753" s="16" t="s">
        <v>2151</v>
      </c>
      <c r="O753" s="16" t="s">
        <v>2152</v>
      </c>
    </row>
    <row r="754" ht="15.75" customHeight="1">
      <c r="A754" s="23">
        <v>45515.0</v>
      </c>
      <c r="B754" s="16" t="s">
        <v>14</v>
      </c>
      <c r="C754" s="16" t="str">
        <f t="shared" si="1"/>
        <v>Bogotá</v>
      </c>
      <c r="D754" s="16" t="str">
        <f t="shared" si="2"/>
        <v>Bogotá</v>
      </c>
      <c r="E754" s="16" t="str">
        <f t="shared" si="3"/>
        <v>Bogotá</v>
      </c>
      <c r="F754" s="16" t="s">
        <v>190</v>
      </c>
      <c r="G754" s="17" t="str">
        <f>IFERROR(__xludf.DUMMYFUNCTION("SPLIT(F754:F1753,""-"") "),"Laptop")</f>
        <v>Laptop</v>
      </c>
      <c r="H754" s="16" t="str">
        <f>IFERROR(__xludf.DUMMYFUNCTION("""COMPUTED_VALUE"""),"Ultraliviana")</f>
        <v>Ultraliviana</v>
      </c>
      <c r="I754" s="16" t="str">
        <f>IFERROR(__xludf.DUMMYFUNCTION("""COMPUTED_VALUE"""),"16GB")</f>
        <v>16GB</v>
      </c>
      <c r="J754" s="18">
        <v>455.85</v>
      </c>
      <c r="K754" s="16">
        <v>2.0</v>
      </c>
      <c r="L754" s="18">
        <v>911.7</v>
      </c>
      <c r="M754" s="16" t="s">
        <v>2944</v>
      </c>
      <c r="N754" s="16" t="s">
        <v>2945</v>
      </c>
      <c r="O754" s="16" t="s">
        <v>2946</v>
      </c>
    </row>
    <row r="755" ht="15.75" customHeight="1">
      <c r="A755" s="23">
        <v>45455.0</v>
      </c>
      <c r="B755" s="16" t="s">
        <v>9</v>
      </c>
      <c r="C755" s="16" t="str">
        <f t="shared" si="1"/>
        <v>Monterrey</v>
      </c>
      <c r="D755" s="16" t="str">
        <f t="shared" si="2"/>
        <v>Monterrey</v>
      </c>
      <c r="E755" s="16" t="str">
        <f t="shared" si="3"/>
        <v>Monterrey</v>
      </c>
      <c r="F755" s="16" t="s">
        <v>389</v>
      </c>
      <c r="G755" s="17" t="str">
        <f>IFERROR(__xludf.DUMMYFUNCTION("SPLIT(F755:F1754,""-"") "),"Auriculares")</f>
        <v>Auriculares</v>
      </c>
      <c r="H755" s="16" t="str">
        <f>IFERROR(__xludf.DUMMYFUNCTION("""COMPUTED_VALUE"""),"Cancelación de ruido")</f>
        <v>Cancelación de ruido</v>
      </c>
      <c r="I755" s="16" t="str">
        <f>IFERROR(__xludf.DUMMYFUNCTION("""COMPUTED_VALUE"""),"4GB")</f>
        <v>4GB</v>
      </c>
      <c r="J755" s="18">
        <v>1669.72</v>
      </c>
      <c r="K755" s="16">
        <v>4.0</v>
      </c>
      <c r="L755" s="18">
        <v>6678.88</v>
      </c>
      <c r="M755" s="16" t="s">
        <v>2947</v>
      </c>
      <c r="N755" s="16" t="s">
        <v>2948</v>
      </c>
      <c r="O755" s="16" t="s">
        <v>2949</v>
      </c>
    </row>
    <row r="756" ht="15.75" customHeight="1">
      <c r="A756" s="19">
        <v>45647.0</v>
      </c>
      <c r="B756" s="16" t="s">
        <v>58</v>
      </c>
      <c r="C756" s="16" t="str">
        <f t="shared" si="1"/>
        <v>Guadalajara</v>
      </c>
      <c r="D756" s="16" t="str">
        <f t="shared" si="2"/>
        <v>Guadalajara</v>
      </c>
      <c r="E756" s="16" t="str">
        <f t="shared" si="3"/>
        <v>Guadalajara</v>
      </c>
      <c r="F756" s="16" t="s">
        <v>399</v>
      </c>
      <c r="G756" s="17" t="str">
        <f>IFERROR(__xludf.DUMMYFUNCTION("SPLIT(F756:F1755,""-"") "),"Laptop")</f>
        <v>Laptop</v>
      </c>
      <c r="H756" s="16" t="str">
        <f>IFERROR(__xludf.DUMMYFUNCTION("""COMPUTED_VALUE"""),"Gaming")</f>
        <v>Gaming</v>
      </c>
      <c r="I756" s="16" t="str">
        <f>IFERROR(__xludf.DUMMYFUNCTION("""COMPUTED_VALUE"""),"4GB")</f>
        <v>4GB</v>
      </c>
      <c r="J756" s="18">
        <v>2224.42</v>
      </c>
      <c r="K756" s="16">
        <v>4.0</v>
      </c>
      <c r="L756" s="18">
        <v>8897.68</v>
      </c>
      <c r="M756" s="16" t="s">
        <v>2057</v>
      </c>
      <c r="N756" s="16" t="s">
        <v>2058</v>
      </c>
      <c r="O756" s="16" t="s">
        <v>2059</v>
      </c>
    </row>
    <row r="757" ht="15.75" customHeight="1">
      <c r="A757" s="23">
        <v>45608.0</v>
      </c>
      <c r="B757" s="16" t="s">
        <v>58</v>
      </c>
      <c r="C757" s="16" t="str">
        <f t="shared" si="1"/>
        <v>Guadalajara</v>
      </c>
      <c r="D757" s="16" t="str">
        <f t="shared" si="2"/>
        <v>Guadalajara</v>
      </c>
      <c r="E757" s="16" t="str">
        <f t="shared" si="3"/>
        <v>Guadalajara</v>
      </c>
      <c r="F757" s="16" t="s">
        <v>90</v>
      </c>
      <c r="G757" s="17" t="str">
        <f>IFERROR(__xludf.DUMMYFUNCTION("SPLIT(F757:F1756,""-"") "),"Laptop")</f>
        <v>Laptop</v>
      </c>
      <c r="H757" s="16" t="str">
        <f>IFERROR(__xludf.DUMMYFUNCTION("""COMPUTED_VALUE"""),"Gaming")</f>
        <v>Gaming</v>
      </c>
      <c r="I757" s="16" t="str">
        <f>IFERROR(__xludf.DUMMYFUNCTION("""COMPUTED_VALUE"""),"32GB")</f>
        <v>32GB</v>
      </c>
      <c r="J757" s="18">
        <v>1032.0</v>
      </c>
      <c r="K757" s="16">
        <v>4.0</v>
      </c>
      <c r="L757" s="18">
        <v>4128.0</v>
      </c>
      <c r="M757" s="16" t="s">
        <v>1021</v>
      </c>
      <c r="N757" s="16" t="s">
        <v>1022</v>
      </c>
      <c r="O757" s="16" t="s">
        <v>1023</v>
      </c>
    </row>
    <row r="758" ht="15.75" customHeight="1">
      <c r="A758" s="23">
        <v>45301.0</v>
      </c>
      <c r="B758" s="16" t="s">
        <v>19</v>
      </c>
      <c r="C758" s="16" t="str">
        <f t="shared" si="1"/>
        <v>Monterrey  </v>
      </c>
      <c r="D758" s="16" t="str">
        <f t="shared" si="2"/>
        <v>Monterrey</v>
      </c>
      <c r="E758" s="16" t="str">
        <f t="shared" si="3"/>
        <v>Monterrey</v>
      </c>
      <c r="F758" s="16" t="s">
        <v>171</v>
      </c>
      <c r="G758" s="17" t="str">
        <f>IFERROR(__xludf.DUMMYFUNCTION("SPLIT(F758:F1757,""-"") "),"Teléfono")</f>
        <v>Teléfono</v>
      </c>
      <c r="H758" s="16" t="str">
        <f>IFERROR(__xludf.DUMMYFUNCTION("""COMPUTED_VALUE"""),"Gama baja")</f>
        <v>Gama baja</v>
      </c>
      <c r="I758" s="16" t="str">
        <f>IFERROR(__xludf.DUMMYFUNCTION("""COMPUTED_VALUE"""),"4GB")</f>
        <v>4GB</v>
      </c>
      <c r="J758" s="18">
        <v>2387.49</v>
      </c>
      <c r="K758" s="16">
        <v>1.0</v>
      </c>
      <c r="L758" s="18">
        <v>2387.49</v>
      </c>
      <c r="M758" s="16" t="s">
        <v>2950</v>
      </c>
      <c r="N758" s="16" t="s">
        <v>2951</v>
      </c>
      <c r="O758" s="16" t="s">
        <v>2952</v>
      </c>
    </row>
    <row r="759" ht="15.75" customHeight="1">
      <c r="A759" s="19">
        <v>45585.0</v>
      </c>
      <c r="B759" s="16" t="s">
        <v>2359</v>
      </c>
      <c r="C759" s="16" t="str">
        <f t="shared" si="1"/>
        <v>Ciudad De M√©Xico</v>
      </c>
      <c r="D759" s="16" t="str">
        <f t="shared" si="2"/>
        <v>Ciudad De M√©Xico</v>
      </c>
      <c r="E759" s="16" t="str">
        <f t="shared" si="3"/>
        <v>Ciudad De MéXico</v>
      </c>
      <c r="F759" s="16" t="s">
        <v>139</v>
      </c>
      <c r="G759" s="17" t="str">
        <f>IFERROR(__xludf.DUMMYFUNCTION("SPLIT(F759:F1758,""-"") "),"Auriculares")</f>
        <v>Auriculares</v>
      </c>
      <c r="H759" s="16" t="str">
        <f>IFERROR(__xludf.DUMMYFUNCTION("""COMPUTED_VALUE"""),"Con cable")</f>
        <v>Con cable</v>
      </c>
      <c r="I759" s="16" t="str">
        <f>IFERROR(__xludf.DUMMYFUNCTION("""COMPUTED_VALUE"""),"16GB")</f>
        <v>16GB</v>
      </c>
      <c r="J759" s="18">
        <v>474.59</v>
      </c>
      <c r="K759" s="16">
        <v>4.0</v>
      </c>
      <c r="L759" s="18">
        <v>1898.36</v>
      </c>
      <c r="M759" s="16" t="s">
        <v>483</v>
      </c>
      <c r="N759" s="16" t="s">
        <v>484</v>
      </c>
      <c r="O759" s="16" t="s">
        <v>485</v>
      </c>
    </row>
    <row r="760" ht="15.75" customHeight="1">
      <c r="A760" s="23">
        <v>45361.0</v>
      </c>
      <c r="B760" s="16" t="s">
        <v>58</v>
      </c>
      <c r="C760" s="16" t="str">
        <f t="shared" si="1"/>
        <v>Guadalajara</v>
      </c>
      <c r="D760" s="16" t="str">
        <f t="shared" si="2"/>
        <v>Guadalajara</v>
      </c>
      <c r="E760" s="16" t="str">
        <f t="shared" si="3"/>
        <v>Guadalajara</v>
      </c>
      <c r="F760" s="16" t="s">
        <v>369</v>
      </c>
      <c r="G760" s="17" t="str">
        <f>IFERROR(__xludf.DUMMYFUNCTION("SPLIT(F760:F1759,""-"") "),"Auriculares")</f>
        <v>Auriculares</v>
      </c>
      <c r="H760" s="16" t="str">
        <f>IFERROR(__xludf.DUMMYFUNCTION("""COMPUTED_VALUE"""),"Con cable")</f>
        <v>Con cable</v>
      </c>
      <c r="I760" s="16" t="str">
        <f>IFERROR(__xludf.DUMMYFUNCTION("""COMPUTED_VALUE"""),"4GB")</f>
        <v>4GB</v>
      </c>
      <c r="J760" s="18">
        <v>1951.0</v>
      </c>
      <c r="K760" s="16">
        <v>5.0</v>
      </c>
      <c r="L760" s="18">
        <v>9755.0</v>
      </c>
      <c r="M760" s="16" t="s">
        <v>2953</v>
      </c>
      <c r="N760" s="16" t="s">
        <v>2954</v>
      </c>
      <c r="O760" s="16" t="s">
        <v>2955</v>
      </c>
    </row>
    <row r="761" ht="15.75" customHeight="1">
      <c r="A761" s="19">
        <v>45644.0</v>
      </c>
      <c r="B761" s="16" t="s">
        <v>9</v>
      </c>
      <c r="C761" s="16" t="str">
        <f t="shared" si="1"/>
        <v>Monterrey</v>
      </c>
      <c r="D761" s="16" t="str">
        <f t="shared" si="2"/>
        <v>Monterrey</v>
      </c>
      <c r="E761" s="16" t="str">
        <f t="shared" si="3"/>
        <v>Monterrey</v>
      </c>
      <c r="F761" s="16" t="s">
        <v>369</v>
      </c>
      <c r="G761" s="17" t="str">
        <f>IFERROR(__xludf.DUMMYFUNCTION("SPLIT(F761:F1760,""-"") "),"Auriculares")</f>
        <v>Auriculares</v>
      </c>
      <c r="H761" s="16" t="str">
        <f>IFERROR(__xludf.DUMMYFUNCTION("""COMPUTED_VALUE"""),"Con cable")</f>
        <v>Con cable</v>
      </c>
      <c r="I761" s="16" t="str">
        <f>IFERROR(__xludf.DUMMYFUNCTION("""COMPUTED_VALUE"""),"4GB")</f>
        <v>4GB</v>
      </c>
      <c r="J761" s="18">
        <v>2425.55</v>
      </c>
      <c r="K761" s="16">
        <v>3.0</v>
      </c>
      <c r="L761" s="18">
        <v>7276.65</v>
      </c>
      <c r="M761" s="16" t="s">
        <v>1954</v>
      </c>
      <c r="N761" s="16" t="s">
        <v>1955</v>
      </c>
      <c r="O761" s="16" t="s">
        <v>1956</v>
      </c>
    </row>
    <row r="762" ht="15.75" customHeight="1">
      <c r="A762" s="19">
        <v>45615.0</v>
      </c>
      <c r="B762" s="16" t="s">
        <v>58</v>
      </c>
      <c r="C762" s="16" t="str">
        <f t="shared" si="1"/>
        <v>Guadalajara</v>
      </c>
      <c r="D762" s="16" t="str">
        <f t="shared" si="2"/>
        <v>Guadalajara</v>
      </c>
      <c r="E762" s="16" t="str">
        <f t="shared" si="3"/>
        <v>Guadalajara</v>
      </c>
      <c r="F762" s="16" t="s">
        <v>389</v>
      </c>
      <c r="G762" s="17" t="str">
        <f>IFERROR(__xludf.DUMMYFUNCTION("SPLIT(F762:F1761,""-"") "),"Auriculares")</f>
        <v>Auriculares</v>
      </c>
      <c r="H762" s="16" t="str">
        <f>IFERROR(__xludf.DUMMYFUNCTION("""COMPUTED_VALUE"""),"Cancelación de ruido")</f>
        <v>Cancelación de ruido</v>
      </c>
      <c r="I762" s="16" t="str">
        <f>IFERROR(__xludf.DUMMYFUNCTION("""COMPUTED_VALUE"""),"4GB")</f>
        <v>4GB</v>
      </c>
      <c r="J762" s="18">
        <v>2214.19</v>
      </c>
      <c r="K762" s="16">
        <v>2.0</v>
      </c>
      <c r="L762" s="18">
        <v>4428.38</v>
      </c>
      <c r="M762" s="16" t="s">
        <v>1287</v>
      </c>
      <c r="N762" s="16" t="s">
        <v>1288</v>
      </c>
      <c r="O762" s="16" t="s">
        <v>1289</v>
      </c>
    </row>
    <row r="763" ht="15.75" customHeight="1">
      <c r="A763" s="19">
        <v>45610.0</v>
      </c>
      <c r="B763" s="16" t="s">
        <v>35</v>
      </c>
      <c r="C763" s="16" t="str">
        <f t="shared" si="1"/>
        <v>Medellín</v>
      </c>
      <c r="D763" s="16" t="str">
        <f t="shared" si="2"/>
        <v>Medellín</v>
      </c>
      <c r="E763" s="16" t="str">
        <f t="shared" si="3"/>
        <v>Medellín</v>
      </c>
      <c r="F763" s="16" t="s">
        <v>344</v>
      </c>
      <c r="G763" s="17" t="str">
        <f>IFERROR(__xludf.DUMMYFUNCTION("SPLIT(F763:F1762,""-"") "),"Laptop")</f>
        <v>Laptop</v>
      </c>
      <c r="H763" s="16" t="str">
        <f>IFERROR(__xludf.DUMMYFUNCTION("""COMPUTED_VALUE"""),"Ultraliviana")</f>
        <v>Ultraliviana</v>
      </c>
      <c r="I763" s="16" t="str">
        <f>IFERROR(__xludf.DUMMYFUNCTION("""COMPUTED_VALUE"""),"8GB")</f>
        <v>8GB</v>
      </c>
      <c r="J763" s="18">
        <v>1165.81</v>
      </c>
      <c r="K763" s="16">
        <v>1.0</v>
      </c>
      <c r="L763" s="18">
        <v>1165.81</v>
      </c>
      <c r="M763" s="16" t="s">
        <v>1097</v>
      </c>
      <c r="N763" s="16" t="s">
        <v>1098</v>
      </c>
      <c r="O763" s="16" t="s">
        <v>1099</v>
      </c>
    </row>
    <row r="764" ht="15.75" customHeight="1">
      <c r="A764" s="23">
        <v>45363.0</v>
      </c>
      <c r="B764" s="16" t="s">
        <v>75</v>
      </c>
      <c r="C764" s="16" t="str">
        <f t="shared" si="1"/>
        <v>Cali</v>
      </c>
      <c r="D764" s="16" t="str">
        <f t="shared" si="2"/>
        <v>Cali</v>
      </c>
      <c r="E764" s="16" t="str">
        <f t="shared" si="3"/>
        <v>Cali</v>
      </c>
      <c r="F764" s="16" t="s">
        <v>315</v>
      </c>
      <c r="G764" s="17" t="str">
        <f>IFERROR(__xludf.DUMMYFUNCTION("SPLIT(F764:F1763,""-"") "),"Teléfono")</f>
        <v>Teléfono</v>
      </c>
      <c r="H764" s="16" t="str">
        <f>IFERROR(__xludf.DUMMYFUNCTION("""COMPUTED_VALUE"""),"Gama baja")</f>
        <v>Gama baja</v>
      </c>
      <c r="I764" s="16" t="str">
        <f>IFERROR(__xludf.DUMMYFUNCTION("""COMPUTED_VALUE"""),"8GB")</f>
        <v>8GB</v>
      </c>
      <c r="J764" s="18">
        <v>1402.18</v>
      </c>
      <c r="K764" s="16">
        <v>3.0</v>
      </c>
      <c r="L764" s="18">
        <v>4206.54</v>
      </c>
      <c r="M764" s="16" t="s">
        <v>2956</v>
      </c>
      <c r="N764" s="16" t="s">
        <v>2957</v>
      </c>
      <c r="O764" s="21" t="s">
        <v>2958</v>
      </c>
    </row>
    <row r="765" ht="15.75" customHeight="1">
      <c r="A765" s="23">
        <v>45546.0</v>
      </c>
      <c r="B765" s="16" t="s">
        <v>75</v>
      </c>
      <c r="C765" s="16" t="str">
        <f t="shared" si="1"/>
        <v>Cali</v>
      </c>
      <c r="D765" s="16" t="str">
        <f t="shared" si="2"/>
        <v>Cali</v>
      </c>
      <c r="E765" s="16" t="str">
        <f t="shared" si="3"/>
        <v>Cali</v>
      </c>
      <c r="F765" s="16" t="s">
        <v>282</v>
      </c>
      <c r="G765" s="17" t="str">
        <f>IFERROR(__xludf.DUMMYFUNCTION("SPLIT(F765:F1764,""-"") "),"Tablet")</f>
        <v>Tablet</v>
      </c>
      <c r="H765" s="16" t="str">
        <f>IFERROR(__xludf.DUMMYFUNCTION("""COMPUTED_VALUE"""),"Pro")</f>
        <v>Pro</v>
      </c>
      <c r="I765" s="16" t="str">
        <f>IFERROR(__xludf.DUMMYFUNCTION("""COMPUTED_VALUE"""),"16GB")</f>
        <v>16GB</v>
      </c>
      <c r="J765" s="18">
        <v>1649.11</v>
      </c>
      <c r="K765" s="16">
        <v>4.0</v>
      </c>
      <c r="L765" s="18">
        <v>6596.44</v>
      </c>
      <c r="M765" s="16" t="s">
        <v>2959</v>
      </c>
      <c r="N765" s="16" t="s">
        <v>2960</v>
      </c>
      <c r="O765" s="16" t="s">
        <v>2961</v>
      </c>
    </row>
    <row r="766" ht="15.75" customHeight="1">
      <c r="A766" s="23">
        <v>45484.0</v>
      </c>
      <c r="B766" s="16" t="s">
        <v>14</v>
      </c>
      <c r="C766" s="16" t="str">
        <f t="shared" si="1"/>
        <v>Bogotá</v>
      </c>
      <c r="D766" s="16" t="str">
        <f t="shared" si="2"/>
        <v>Bogotá</v>
      </c>
      <c r="E766" s="16" t="str">
        <f t="shared" si="3"/>
        <v>Bogotá</v>
      </c>
      <c r="F766" s="16" t="s">
        <v>163</v>
      </c>
      <c r="G766" s="17" t="str">
        <f>IFERROR(__xludf.DUMMYFUNCTION("SPLIT(F766:F1765,""-"") "),"Laptop")</f>
        <v>Laptop</v>
      </c>
      <c r="H766" s="16" t="str">
        <f>IFERROR(__xludf.DUMMYFUNCTION("""COMPUTED_VALUE"""),"Oficina")</f>
        <v>Oficina</v>
      </c>
      <c r="I766" s="16" t="str">
        <f>IFERROR(__xludf.DUMMYFUNCTION("""COMPUTED_VALUE"""),"32GB")</f>
        <v>32GB</v>
      </c>
      <c r="J766" s="18">
        <v>1531.23</v>
      </c>
      <c r="K766" s="16">
        <v>3.0</v>
      </c>
      <c r="L766" s="18">
        <v>4593.69</v>
      </c>
      <c r="M766" s="16" t="s">
        <v>2962</v>
      </c>
      <c r="N766" s="16" t="s">
        <v>2963</v>
      </c>
      <c r="O766" s="16" t="s">
        <v>2964</v>
      </c>
    </row>
    <row r="767" ht="15.75" customHeight="1">
      <c r="A767" s="23">
        <v>45485.0</v>
      </c>
      <c r="B767" s="16" t="s">
        <v>58</v>
      </c>
      <c r="C767" s="16" t="str">
        <f t="shared" si="1"/>
        <v>Guadalajara</v>
      </c>
      <c r="D767" s="16" t="str">
        <f t="shared" si="2"/>
        <v>Guadalajara</v>
      </c>
      <c r="E767" s="16" t="str">
        <f t="shared" si="3"/>
        <v>Guadalajara</v>
      </c>
      <c r="F767" s="16" t="s">
        <v>10</v>
      </c>
      <c r="G767" s="17" t="str">
        <f>IFERROR(__xludf.DUMMYFUNCTION("SPLIT(F767:F1766,""-"") "),"Tablet")</f>
        <v>Tablet</v>
      </c>
      <c r="H767" s="16" t="str">
        <f>IFERROR(__xludf.DUMMYFUNCTION("""COMPUTED_VALUE"""),"Estándar")</f>
        <v>Estándar</v>
      </c>
      <c r="I767" s="16" t="str">
        <f>IFERROR(__xludf.DUMMYFUNCTION("""COMPUTED_VALUE"""),"8GB")</f>
        <v>8GB</v>
      </c>
      <c r="J767" s="18">
        <v>742.02</v>
      </c>
      <c r="K767" s="16">
        <v>1.0</v>
      </c>
      <c r="L767" s="18">
        <v>742.02</v>
      </c>
      <c r="M767" s="16" t="s">
        <v>2965</v>
      </c>
      <c r="N767" s="16" t="s">
        <v>2966</v>
      </c>
      <c r="O767" s="16" t="s">
        <v>2967</v>
      </c>
    </row>
    <row r="768" ht="15.75" customHeight="1">
      <c r="A768" s="23">
        <v>45392.0</v>
      </c>
      <c r="B768" s="16" t="s">
        <v>35</v>
      </c>
      <c r="C768" s="16" t="str">
        <f t="shared" si="1"/>
        <v>Medellín</v>
      </c>
      <c r="D768" s="16" t="str">
        <f t="shared" si="2"/>
        <v>Medellín</v>
      </c>
      <c r="E768" s="16" t="str">
        <f t="shared" si="3"/>
        <v>Medellín</v>
      </c>
      <c r="F768" s="16" t="s">
        <v>59</v>
      </c>
      <c r="G768" s="17" t="str">
        <f>IFERROR(__xludf.DUMMYFUNCTION("SPLIT(F768:F1767,""-"") "),"Auriculares")</f>
        <v>Auriculares</v>
      </c>
      <c r="H768" s="16" t="str">
        <f>IFERROR(__xludf.DUMMYFUNCTION("""COMPUTED_VALUE"""),"Bluetooth")</f>
        <v>Bluetooth</v>
      </c>
      <c r="I768" s="16" t="str">
        <f>IFERROR(__xludf.DUMMYFUNCTION("""COMPUTED_VALUE"""),"4GB")</f>
        <v>4GB</v>
      </c>
      <c r="J768" s="18">
        <v>494.33</v>
      </c>
      <c r="K768" s="16">
        <v>5.0</v>
      </c>
      <c r="L768" s="18">
        <v>2471.65</v>
      </c>
      <c r="M768" s="16" t="s">
        <v>2968</v>
      </c>
      <c r="N768" s="16" t="s">
        <v>2969</v>
      </c>
      <c r="O768" s="16" t="s">
        <v>2970</v>
      </c>
    </row>
    <row r="769" ht="15.75" customHeight="1">
      <c r="A769" s="23">
        <v>45546.0</v>
      </c>
      <c r="B769" s="16" t="s">
        <v>2359</v>
      </c>
      <c r="C769" s="16" t="str">
        <f t="shared" si="1"/>
        <v>Ciudad De M√©Xico</v>
      </c>
      <c r="D769" s="16" t="str">
        <f t="shared" si="2"/>
        <v>Ciudad De M√©Xico</v>
      </c>
      <c r="E769" s="16" t="str">
        <f t="shared" si="3"/>
        <v>Ciudad De MéXico</v>
      </c>
      <c r="F769" s="16" t="s">
        <v>23</v>
      </c>
      <c r="G769" s="17" t="str">
        <f>IFERROR(__xludf.DUMMYFUNCTION("SPLIT(F769:F1768,""-"") "),"Tablet")</f>
        <v>Tablet</v>
      </c>
      <c r="H769" s="16" t="str">
        <f>IFERROR(__xludf.DUMMYFUNCTION("""COMPUTED_VALUE"""),"Estándar")</f>
        <v>Estándar</v>
      </c>
      <c r="I769" s="16" t="str">
        <f>IFERROR(__xludf.DUMMYFUNCTION("""COMPUTED_VALUE"""),"16GB")</f>
        <v>16GB</v>
      </c>
      <c r="J769" s="18">
        <v>731.02</v>
      </c>
      <c r="K769" s="16">
        <v>4.0</v>
      </c>
      <c r="L769" s="18">
        <v>2924.08</v>
      </c>
      <c r="M769" s="16" t="s">
        <v>2971</v>
      </c>
      <c r="N769" s="16" t="s">
        <v>2972</v>
      </c>
      <c r="O769" s="16" t="s">
        <v>2973</v>
      </c>
    </row>
    <row r="770" ht="15.75" customHeight="1">
      <c r="A770" s="23">
        <v>45392.0</v>
      </c>
      <c r="B770" s="16" t="s">
        <v>35</v>
      </c>
      <c r="C770" s="16" t="str">
        <f t="shared" si="1"/>
        <v>Medellín</v>
      </c>
      <c r="D770" s="16" t="str">
        <f t="shared" si="2"/>
        <v>Medellín</v>
      </c>
      <c r="E770" s="16" t="str">
        <f t="shared" si="3"/>
        <v>Medellín</v>
      </c>
      <c r="F770" s="16" t="s">
        <v>171</v>
      </c>
      <c r="G770" s="17" t="str">
        <f>IFERROR(__xludf.DUMMYFUNCTION("SPLIT(F770:F1769,""-"") "),"Teléfono")</f>
        <v>Teléfono</v>
      </c>
      <c r="H770" s="16" t="str">
        <f>IFERROR(__xludf.DUMMYFUNCTION("""COMPUTED_VALUE"""),"Gama baja")</f>
        <v>Gama baja</v>
      </c>
      <c r="I770" s="16" t="str">
        <f>IFERROR(__xludf.DUMMYFUNCTION("""COMPUTED_VALUE"""),"4GB")</f>
        <v>4GB</v>
      </c>
      <c r="J770" s="18">
        <v>2203.93</v>
      </c>
      <c r="K770" s="16">
        <v>5.0</v>
      </c>
      <c r="L770" s="18">
        <v>11019.65</v>
      </c>
      <c r="M770" s="16" t="s">
        <v>2974</v>
      </c>
      <c r="N770" s="16" t="s">
        <v>2975</v>
      </c>
      <c r="O770" s="16" t="s">
        <v>2976</v>
      </c>
    </row>
    <row r="771" ht="15.75" customHeight="1">
      <c r="A771" s="23">
        <v>45608.0</v>
      </c>
      <c r="B771" s="16" t="s">
        <v>75</v>
      </c>
      <c r="C771" s="16" t="str">
        <f t="shared" si="1"/>
        <v>Cali</v>
      </c>
      <c r="D771" s="16" t="str">
        <f t="shared" si="2"/>
        <v>Cali</v>
      </c>
      <c r="E771" s="16" t="str">
        <f t="shared" si="3"/>
        <v>Cali</v>
      </c>
      <c r="F771" s="16" t="s">
        <v>36</v>
      </c>
      <c r="G771" s="17" t="str">
        <f>IFERROR(__xludf.DUMMYFUNCTION("SPLIT(F771:F1770,""-"") "),"Tablet")</f>
        <v>Tablet</v>
      </c>
      <c r="H771" s="16" t="str">
        <f>IFERROR(__xludf.DUMMYFUNCTION("""COMPUTED_VALUE"""),"Pro")</f>
        <v>Pro</v>
      </c>
      <c r="I771" s="16" t="str">
        <f>IFERROR(__xludf.DUMMYFUNCTION("""COMPUTED_VALUE"""),"4GB")</f>
        <v>4GB</v>
      </c>
      <c r="J771" s="22">
        <f>(L771/K771) </f>
        <v>1856.6</v>
      </c>
      <c r="K771" s="16">
        <v>2.0</v>
      </c>
      <c r="L771" s="18">
        <v>3713.2</v>
      </c>
      <c r="M771" s="16" t="s">
        <v>1024</v>
      </c>
      <c r="N771" s="16" t="s">
        <v>1025</v>
      </c>
      <c r="O771" s="16" t="s">
        <v>1026</v>
      </c>
    </row>
    <row r="772" ht="15.75" customHeight="1">
      <c r="A772" s="19">
        <v>45613.0</v>
      </c>
      <c r="B772" s="16" t="s">
        <v>75</v>
      </c>
      <c r="C772" s="16" t="str">
        <f t="shared" si="1"/>
        <v>Cali</v>
      </c>
      <c r="D772" s="16" t="str">
        <f t="shared" si="2"/>
        <v>Cali</v>
      </c>
      <c r="E772" s="16" t="str">
        <f t="shared" si="3"/>
        <v>Cali</v>
      </c>
      <c r="F772" s="16" t="s">
        <v>163</v>
      </c>
      <c r="G772" s="17" t="str">
        <f>IFERROR(__xludf.DUMMYFUNCTION("SPLIT(F772:F1771,""-"") "),"Laptop")</f>
        <v>Laptop</v>
      </c>
      <c r="H772" s="16" t="str">
        <f>IFERROR(__xludf.DUMMYFUNCTION("""COMPUTED_VALUE"""),"Oficina")</f>
        <v>Oficina</v>
      </c>
      <c r="I772" s="16" t="str">
        <f>IFERROR(__xludf.DUMMYFUNCTION("""COMPUTED_VALUE"""),"32GB")</f>
        <v>32GB</v>
      </c>
      <c r="J772" s="18">
        <v>2002.21</v>
      </c>
      <c r="K772" s="16">
        <v>3.0</v>
      </c>
      <c r="L772" s="18">
        <v>6006.63</v>
      </c>
      <c r="M772" s="16" t="s">
        <v>1224</v>
      </c>
      <c r="N772" s="16" t="s">
        <v>1225</v>
      </c>
      <c r="O772" s="16" t="s">
        <v>1226</v>
      </c>
    </row>
    <row r="773" ht="15.75" customHeight="1">
      <c r="A773" s="19">
        <v>45620.0</v>
      </c>
      <c r="B773" s="16" t="s">
        <v>14</v>
      </c>
      <c r="C773" s="16" t="str">
        <f t="shared" si="1"/>
        <v>Bogotá</v>
      </c>
      <c r="D773" s="16" t="str">
        <f t="shared" si="2"/>
        <v>Bogotá</v>
      </c>
      <c r="E773" s="16" t="str">
        <f t="shared" si="3"/>
        <v>Bogotá</v>
      </c>
      <c r="F773" s="16" t="s">
        <v>182</v>
      </c>
      <c r="G773" s="17" t="str">
        <f>IFERROR(__xludf.DUMMYFUNCTION("SPLIT(F773:F1772,""-"") "),"Tablet")</f>
        <v>Tablet</v>
      </c>
      <c r="H773" s="16" t="str">
        <f>IFERROR(__xludf.DUMMYFUNCTION("""COMPUTED_VALUE"""),"Mini")</f>
        <v>Mini</v>
      </c>
      <c r="I773" s="16" t="str">
        <f>IFERROR(__xludf.DUMMYFUNCTION("""COMPUTED_VALUE"""),"4GB")</f>
        <v>4GB</v>
      </c>
      <c r="J773" s="18">
        <v>428.02</v>
      </c>
      <c r="K773" s="16">
        <v>3.0</v>
      </c>
      <c r="L773" s="18">
        <v>1284.06</v>
      </c>
      <c r="M773" s="16" t="s">
        <v>1456</v>
      </c>
      <c r="N773" s="16" t="s">
        <v>1457</v>
      </c>
      <c r="O773" s="16" t="s">
        <v>1458</v>
      </c>
    </row>
    <row r="774" ht="15.75" customHeight="1">
      <c r="A774" s="19">
        <v>45623.0</v>
      </c>
      <c r="B774" s="16" t="s">
        <v>58</v>
      </c>
      <c r="C774" s="16" t="str">
        <f t="shared" si="1"/>
        <v>Guadalajara</v>
      </c>
      <c r="D774" s="16" t="str">
        <f t="shared" si="2"/>
        <v>Guadalajara</v>
      </c>
      <c r="E774" s="16" t="str">
        <f t="shared" si="3"/>
        <v>Guadalajara</v>
      </c>
      <c r="F774" s="16" t="s">
        <v>186</v>
      </c>
      <c r="G774" s="17" t="str">
        <f>IFERROR(__xludf.DUMMYFUNCTION("SPLIT(F774:F1773,""-"") "),"Auriculares")</f>
        <v>Auriculares</v>
      </c>
      <c r="H774" s="16" t="str">
        <f>IFERROR(__xludf.DUMMYFUNCTION("""COMPUTED_VALUE"""),"Cancelaci√≥n de ruido")</f>
        <v>Cancelaci√≥n de ruido</v>
      </c>
      <c r="I774" s="16" t="str">
        <f>IFERROR(__xludf.DUMMYFUNCTION("""COMPUTED_VALUE"""),"16GB")</f>
        <v>16GB</v>
      </c>
      <c r="J774" s="18">
        <v>2160.65</v>
      </c>
      <c r="K774" s="16">
        <v>3.0</v>
      </c>
      <c r="L774" s="18">
        <v>6481.95</v>
      </c>
      <c r="M774" s="16" t="s">
        <v>1556</v>
      </c>
      <c r="N774" s="16" t="s">
        <v>1557</v>
      </c>
      <c r="O774" s="16" t="s">
        <v>1558</v>
      </c>
    </row>
    <row r="775" ht="15.75" customHeight="1">
      <c r="A775" s="19">
        <v>45593.0</v>
      </c>
      <c r="B775" s="16" t="s">
        <v>14</v>
      </c>
      <c r="C775" s="16" t="str">
        <f t="shared" si="1"/>
        <v>Bogotá</v>
      </c>
      <c r="D775" s="16" t="str">
        <f t="shared" si="2"/>
        <v>Bogotá</v>
      </c>
      <c r="E775" s="16" t="str">
        <f t="shared" si="3"/>
        <v>Bogotá</v>
      </c>
      <c r="F775" s="16" t="s">
        <v>225</v>
      </c>
      <c r="G775" s="17" t="str">
        <f>IFERROR(__xludf.DUMMYFUNCTION("SPLIT(F775:F1774,""-"") "),"Laptop")</f>
        <v>Laptop</v>
      </c>
      <c r="H775" s="16" t="str">
        <f>IFERROR(__xludf.DUMMYFUNCTION("""COMPUTED_VALUE"""),"Gaming")</f>
        <v>Gaming</v>
      </c>
      <c r="I775" s="16" t="str">
        <f>IFERROR(__xludf.DUMMYFUNCTION("""COMPUTED_VALUE"""),"16GB")</f>
        <v>16GB</v>
      </c>
      <c r="J775" s="18">
        <v>2472.61</v>
      </c>
      <c r="K775" s="16">
        <v>5.0</v>
      </c>
      <c r="L775" s="18">
        <v>12363.05</v>
      </c>
      <c r="M775" s="16" t="s">
        <v>721</v>
      </c>
      <c r="N775" s="16" t="s">
        <v>722</v>
      </c>
      <c r="O775" s="16" t="s">
        <v>723</v>
      </c>
    </row>
    <row r="776" ht="15.75" customHeight="1">
      <c r="A776" s="19">
        <v>45642.0</v>
      </c>
      <c r="B776" s="16" t="s">
        <v>35</v>
      </c>
      <c r="C776" s="16" t="str">
        <f t="shared" si="1"/>
        <v>Medellín</v>
      </c>
      <c r="D776" s="16" t="str">
        <f t="shared" si="2"/>
        <v>Medellín</v>
      </c>
      <c r="E776" s="16" t="str">
        <f t="shared" si="3"/>
        <v>Medellín</v>
      </c>
      <c r="F776" s="16" t="s">
        <v>139</v>
      </c>
      <c r="G776" s="17" t="str">
        <f>IFERROR(__xludf.DUMMYFUNCTION("SPLIT(F776:F1775,""-"") "),"Auriculares")</f>
        <v>Auriculares</v>
      </c>
      <c r="H776" s="16" t="str">
        <f>IFERROR(__xludf.DUMMYFUNCTION("""COMPUTED_VALUE"""),"Con cable")</f>
        <v>Con cable</v>
      </c>
      <c r="I776" s="16" t="str">
        <f>IFERROR(__xludf.DUMMYFUNCTION("""COMPUTED_VALUE"""),"16GB")</f>
        <v>16GB</v>
      </c>
      <c r="J776" s="18">
        <v>1252.47</v>
      </c>
      <c r="K776" s="16">
        <v>5.0</v>
      </c>
      <c r="L776" s="18">
        <v>6262.35</v>
      </c>
      <c r="M776" s="16" t="s">
        <v>1903</v>
      </c>
      <c r="N776" s="16" t="s">
        <v>1904</v>
      </c>
      <c r="O776" s="16" t="s">
        <v>1905</v>
      </c>
    </row>
    <row r="777" ht="15.75" customHeight="1">
      <c r="A777" s="19">
        <v>45584.0</v>
      </c>
      <c r="B777" s="16" t="s">
        <v>14</v>
      </c>
      <c r="C777" s="16" t="str">
        <f t="shared" si="1"/>
        <v>Bogotá</v>
      </c>
      <c r="D777" s="16" t="str">
        <f t="shared" si="2"/>
        <v>Bogotá</v>
      </c>
      <c r="E777" s="16" t="str">
        <f t="shared" si="3"/>
        <v>Bogotá</v>
      </c>
      <c r="F777" s="16" t="s">
        <v>31</v>
      </c>
      <c r="G777" s="17" t="str">
        <f>IFERROR(__xludf.DUMMYFUNCTION("SPLIT(F777:F1776,""-"") "),"Teléfono")</f>
        <v>Teléfono</v>
      </c>
      <c r="H777" s="16" t="str">
        <f>IFERROR(__xludf.DUMMYFUNCTION("""COMPUTED_VALUE"""),"Gama alta")</f>
        <v>Gama alta</v>
      </c>
      <c r="I777" s="16" t="str">
        <f>IFERROR(__xludf.DUMMYFUNCTION("""COMPUTED_VALUE"""),"32GB")</f>
        <v>32GB</v>
      </c>
      <c r="J777" s="18">
        <v>130.05</v>
      </c>
      <c r="K777" s="16">
        <v>1.0</v>
      </c>
      <c r="L777" s="18">
        <v>130.05</v>
      </c>
      <c r="M777" s="16" t="s">
        <v>440</v>
      </c>
      <c r="N777" s="16" t="s">
        <v>441</v>
      </c>
      <c r="O777" s="16" t="s">
        <v>442</v>
      </c>
    </row>
    <row r="778" ht="15.75" customHeight="1">
      <c r="A778" s="19">
        <v>45617.0</v>
      </c>
      <c r="B778" s="16" t="s">
        <v>116</v>
      </c>
      <c r="C778" s="16" t="str">
        <f t="shared" si="1"/>
        <v>Guadalajara</v>
      </c>
      <c r="D778" s="16" t="str">
        <f t="shared" si="2"/>
        <v>Guadalajara</v>
      </c>
      <c r="E778" s="16" t="str">
        <f t="shared" si="3"/>
        <v>Guadalajara</v>
      </c>
      <c r="F778" s="16" t="s">
        <v>167</v>
      </c>
      <c r="G778" s="17" t="str">
        <f>IFERROR(__xludf.DUMMYFUNCTION("SPLIT(F778:F1777,""-"") "),"Auriculares")</f>
        <v>Auriculares</v>
      </c>
      <c r="H778" s="16" t="str">
        <f>IFERROR(__xludf.DUMMYFUNCTION("""COMPUTED_VALUE"""),"Bluetooth")</f>
        <v>Bluetooth</v>
      </c>
      <c r="I778" s="16" t="str">
        <f>IFERROR(__xludf.DUMMYFUNCTION("""COMPUTED_VALUE"""),"32GB")</f>
        <v>32GB</v>
      </c>
      <c r="J778" s="18">
        <v>2399.53</v>
      </c>
      <c r="K778" s="16">
        <v>3.0</v>
      </c>
      <c r="L778" s="22">
        <f>J778*K778</f>
        <v>7198.59</v>
      </c>
      <c r="M778" s="16" t="s">
        <v>1356</v>
      </c>
      <c r="N778" s="16" t="s">
        <v>1357</v>
      </c>
      <c r="O778" s="16" t="s">
        <v>1358</v>
      </c>
    </row>
    <row r="779" ht="15.75" customHeight="1">
      <c r="A779" s="19">
        <v>45645.0</v>
      </c>
      <c r="B779" s="16" t="s">
        <v>14</v>
      </c>
      <c r="C779" s="16" t="str">
        <f t="shared" si="1"/>
        <v>Bogotá</v>
      </c>
      <c r="D779" s="16" t="str">
        <f t="shared" si="2"/>
        <v>Bogotá</v>
      </c>
      <c r="E779" s="16" t="str">
        <f t="shared" si="3"/>
        <v>Bogotá</v>
      </c>
      <c r="F779" s="16" t="s">
        <v>117</v>
      </c>
      <c r="G779" s="17" t="str">
        <f>IFERROR(__xludf.DUMMYFUNCTION("SPLIT(F779:F1778,""-"") "),"Teléfono")</f>
        <v>Teléfono</v>
      </c>
      <c r="H779" s="16" t="str">
        <f>IFERROR(__xludf.DUMMYFUNCTION("""COMPUTED_VALUE"""),"Gama baja")</f>
        <v>Gama baja</v>
      </c>
      <c r="I779" s="16" t="str">
        <f>IFERROR(__xludf.DUMMYFUNCTION("""COMPUTED_VALUE"""),"16GB")</f>
        <v>16GB</v>
      </c>
      <c r="J779" s="18">
        <v>1900.01</v>
      </c>
      <c r="K779" s="16">
        <v>5.0</v>
      </c>
      <c r="L779" s="18">
        <v>9500.05</v>
      </c>
      <c r="M779" s="16" t="s">
        <v>1996</v>
      </c>
      <c r="N779" s="16" t="s">
        <v>1997</v>
      </c>
      <c r="O779" s="16" t="s">
        <v>1998</v>
      </c>
    </row>
    <row r="780" ht="15.75" customHeight="1">
      <c r="A780" s="23">
        <v>45454.0</v>
      </c>
      <c r="B780" s="16" t="s">
        <v>9</v>
      </c>
      <c r="C780" s="16" t="str">
        <f t="shared" si="1"/>
        <v>Monterrey</v>
      </c>
      <c r="D780" s="16" t="str">
        <f t="shared" si="2"/>
        <v>Monterrey</v>
      </c>
      <c r="E780" s="16" t="str">
        <f t="shared" si="3"/>
        <v>Monterrey</v>
      </c>
      <c r="F780" s="16" t="s">
        <v>182</v>
      </c>
      <c r="G780" s="17" t="str">
        <f>IFERROR(__xludf.DUMMYFUNCTION("SPLIT(F780:F1779,""-"") "),"Tablet")</f>
        <v>Tablet</v>
      </c>
      <c r="H780" s="16" t="str">
        <f>IFERROR(__xludf.DUMMYFUNCTION("""COMPUTED_VALUE"""),"Mini")</f>
        <v>Mini</v>
      </c>
      <c r="I780" s="16" t="str">
        <f>IFERROR(__xludf.DUMMYFUNCTION("""COMPUTED_VALUE"""),"4GB")</f>
        <v>4GB</v>
      </c>
      <c r="J780" s="18">
        <v>1344.3</v>
      </c>
      <c r="K780" s="16">
        <v>1.0</v>
      </c>
      <c r="L780" s="18">
        <v>1344.3</v>
      </c>
      <c r="M780" s="16" t="s">
        <v>2977</v>
      </c>
      <c r="N780" s="16" t="s">
        <v>2978</v>
      </c>
      <c r="O780" s="16" t="s">
        <v>2979</v>
      </c>
    </row>
    <row r="781" ht="15.75" customHeight="1">
      <c r="A781" s="23">
        <v>45514.0</v>
      </c>
      <c r="B781" s="16" t="s">
        <v>75</v>
      </c>
      <c r="C781" s="16" t="str">
        <f t="shared" si="1"/>
        <v>Cali</v>
      </c>
      <c r="D781" s="16" t="str">
        <f t="shared" si="2"/>
        <v>Cali</v>
      </c>
      <c r="E781" s="16" t="str">
        <f t="shared" si="3"/>
        <v>Cali</v>
      </c>
      <c r="F781" s="16" t="s">
        <v>153</v>
      </c>
      <c r="G781" s="17" t="str">
        <f>IFERROR(__xludf.DUMMYFUNCTION("SPLIT(F781:F1780,""-"") "),"Laptop")</f>
        <v>Laptop</v>
      </c>
      <c r="H781" s="16" t="str">
        <f>IFERROR(__xludf.DUMMYFUNCTION("""COMPUTED_VALUE"""),"Gaming")</f>
        <v>Gaming</v>
      </c>
      <c r="I781" s="16" t="str">
        <f>IFERROR(__xludf.DUMMYFUNCTION("""COMPUTED_VALUE"""),"8GB")</f>
        <v>8GB</v>
      </c>
      <c r="J781" s="18">
        <v>2170.39</v>
      </c>
      <c r="K781" s="16">
        <v>2.0</v>
      </c>
      <c r="L781" s="18">
        <v>4340.78</v>
      </c>
      <c r="M781" s="16" t="s">
        <v>2980</v>
      </c>
      <c r="N781" s="16" t="s">
        <v>2981</v>
      </c>
      <c r="O781" s="16" t="s">
        <v>2982</v>
      </c>
    </row>
    <row r="782" ht="15.75" customHeight="1">
      <c r="A782" s="19">
        <v>45591.0</v>
      </c>
      <c r="B782" s="16" t="s">
        <v>75</v>
      </c>
      <c r="C782" s="16" t="str">
        <f t="shared" si="1"/>
        <v>Cali</v>
      </c>
      <c r="D782" s="16" t="str">
        <f t="shared" si="2"/>
        <v>Cali</v>
      </c>
      <c r="E782" s="16" t="str">
        <f t="shared" si="3"/>
        <v>Cali</v>
      </c>
      <c r="F782" s="16" t="s">
        <v>125</v>
      </c>
      <c r="G782" s="17" t="str">
        <f>IFERROR(__xludf.DUMMYFUNCTION("SPLIT(F782:F1781,""-"") "),"Tel√©fono")</f>
        <v>Tel√©fono</v>
      </c>
      <c r="H782" s="16" t="str">
        <f>IFERROR(__xludf.DUMMYFUNCTION("""COMPUTED_VALUE"""),"Gama media")</f>
        <v>Gama media</v>
      </c>
      <c r="I782" s="16" t="str">
        <f>IFERROR(__xludf.DUMMYFUNCTION("""COMPUTED_VALUE"""),"8GB")</f>
        <v>8GB</v>
      </c>
      <c r="J782" s="18">
        <v>403.48</v>
      </c>
      <c r="K782" s="16">
        <v>2.0</v>
      </c>
      <c r="L782" s="18">
        <v>806.96</v>
      </c>
      <c r="M782" s="16" t="s">
        <v>660</v>
      </c>
      <c r="N782" s="16" t="s">
        <v>661</v>
      </c>
      <c r="O782" s="16" t="s">
        <v>662</v>
      </c>
    </row>
    <row r="783" ht="15.75" customHeight="1">
      <c r="A783" s="23">
        <v>45514.0</v>
      </c>
      <c r="B783" s="16" t="s">
        <v>75</v>
      </c>
      <c r="C783" s="16" t="str">
        <f t="shared" si="1"/>
        <v>Cali</v>
      </c>
      <c r="D783" s="16" t="str">
        <f t="shared" si="2"/>
        <v>Cali</v>
      </c>
      <c r="E783" s="16" t="str">
        <f t="shared" si="3"/>
        <v>Cali</v>
      </c>
      <c r="F783" s="16" t="s">
        <v>23</v>
      </c>
      <c r="G783" s="17" t="str">
        <f>IFERROR(__xludf.DUMMYFUNCTION("SPLIT(F783:F1782,""-"") "),"Tablet")</f>
        <v>Tablet</v>
      </c>
      <c r="H783" s="16" t="str">
        <f>IFERROR(__xludf.DUMMYFUNCTION("""COMPUTED_VALUE"""),"Estándar")</f>
        <v>Estándar</v>
      </c>
      <c r="I783" s="16" t="str">
        <f>IFERROR(__xludf.DUMMYFUNCTION("""COMPUTED_VALUE"""),"16GB")</f>
        <v>16GB</v>
      </c>
      <c r="J783" s="18">
        <v>2172.79</v>
      </c>
      <c r="K783" s="16">
        <v>4.0</v>
      </c>
      <c r="L783" s="18">
        <v>8691.16</v>
      </c>
      <c r="M783" s="16" t="s">
        <v>2983</v>
      </c>
      <c r="N783" s="16" t="s">
        <v>2984</v>
      </c>
      <c r="O783" s="16" t="s">
        <v>2985</v>
      </c>
    </row>
    <row r="784" ht="15.75" customHeight="1">
      <c r="A784" s="23">
        <v>45424.0</v>
      </c>
      <c r="B784" s="16" t="s">
        <v>75</v>
      </c>
      <c r="C784" s="16" t="str">
        <f t="shared" si="1"/>
        <v>Cali</v>
      </c>
      <c r="D784" s="16" t="str">
        <f t="shared" si="2"/>
        <v>Cali</v>
      </c>
      <c r="E784" s="16" t="str">
        <f t="shared" si="3"/>
        <v>Cali</v>
      </c>
      <c r="F784" s="16" t="s">
        <v>15</v>
      </c>
      <c r="G784" s="17" t="str">
        <f>IFERROR(__xludf.DUMMYFUNCTION("SPLIT(F784:F1783,""-"") "),"Auriculares")</f>
        <v>Auriculares</v>
      </c>
      <c r="H784" s="16" t="str">
        <f>IFERROR(__xludf.DUMMYFUNCTION("""COMPUTED_VALUE"""),"Con cable")</f>
        <v>Con cable</v>
      </c>
      <c r="I784" s="16" t="str">
        <f>IFERROR(__xludf.DUMMYFUNCTION("""COMPUTED_VALUE"""),"32GB")</f>
        <v>32GB</v>
      </c>
      <c r="J784" s="18">
        <v>892.88</v>
      </c>
      <c r="K784" s="16">
        <v>5.0</v>
      </c>
      <c r="L784" s="18">
        <v>4464.4</v>
      </c>
      <c r="M784" s="16" t="s">
        <v>2986</v>
      </c>
      <c r="N784" s="16" t="s">
        <v>2987</v>
      </c>
      <c r="O784" s="16" t="s">
        <v>2988</v>
      </c>
    </row>
    <row r="785" ht="15.75" customHeight="1">
      <c r="A785" s="19">
        <v>45618.0</v>
      </c>
      <c r="B785" s="16" t="s">
        <v>35</v>
      </c>
      <c r="C785" s="16" t="str">
        <f t="shared" si="1"/>
        <v>Medellín</v>
      </c>
      <c r="D785" s="16" t="str">
        <f t="shared" si="2"/>
        <v>Medellín</v>
      </c>
      <c r="E785" s="16" t="str">
        <f t="shared" si="3"/>
        <v>Medellín</v>
      </c>
      <c r="F785" s="16" t="s">
        <v>15</v>
      </c>
      <c r="G785" s="17" t="str">
        <f>IFERROR(__xludf.DUMMYFUNCTION("SPLIT(F785:F1784,""-"") "),"Auriculares")</f>
        <v>Auriculares</v>
      </c>
      <c r="H785" s="16" t="str">
        <f>IFERROR(__xludf.DUMMYFUNCTION("""COMPUTED_VALUE"""),"Con cable")</f>
        <v>Con cable</v>
      </c>
      <c r="I785" s="16" t="str">
        <f>IFERROR(__xludf.DUMMYFUNCTION("""COMPUTED_VALUE"""),"32GB")</f>
        <v>32GB</v>
      </c>
      <c r="J785" s="18">
        <v>463.17</v>
      </c>
      <c r="K785" s="16">
        <v>3.0</v>
      </c>
      <c r="L785" s="18">
        <v>1389.51</v>
      </c>
      <c r="M785" s="16" t="s">
        <v>1401</v>
      </c>
      <c r="N785" s="16" t="s">
        <v>1402</v>
      </c>
      <c r="O785" s="16" t="s">
        <v>1403</v>
      </c>
    </row>
    <row r="786" ht="15.75" customHeight="1">
      <c r="A786" s="19">
        <v>45644.0</v>
      </c>
      <c r="B786" s="16" t="s">
        <v>35</v>
      </c>
      <c r="C786" s="16" t="str">
        <f t="shared" si="1"/>
        <v>Medellín</v>
      </c>
      <c r="D786" s="16" t="str">
        <f t="shared" si="2"/>
        <v>Medellín</v>
      </c>
      <c r="E786" s="16" t="str">
        <f t="shared" si="3"/>
        <v>Medellín</v>
      </c>
      <c r="F786" s="16" t="s">
        <v>85</v>
      </c>
      <c r="G786" s="17" t="str">
        <f>IFERROR(__xludf.DUMMYFUNCTION("SPLIT(F786:F1785,""-"") "),"Teléfono")</f>
        <v>Teléfono</v>
      </c>
      <c r="H786" s="16" t="str">
        <f>IFERROR(__xludf.DUMMYFUNCTION("""COMPUTED_VALUE"""),"Gama media")</f>
        <v>Gama media</v>
      </c>
      <c r="I786" s="16" t="str">
        <f>IFERROR(__xludf.DUMMYFUNCTION("""COMPUTED_VALUE"""),"32GB")</f>
        <v>32GB</v>
      </c>
      <c r="J786" s="18">
        <v>944.98</v>
      </c>
      <c r="K786" s="16">
        <v>1.0</v>
      </c>
      <c r="L786" s="18">
        <v>944.98</v>
      </c>
      <c r="M786" s="16" t="s">
        <v>1957</v>
      </c>
      <c r="N786" s="16" t="s">
        <v>1958</v>
      </c>
      <c r="O786" s="16" t="s">
        <v>1959</v>
      </c>
    </row>
    <row r="787" ht="15.75" customHeight="1">
      <c r="A787" s="19">
        <v>45651.0</v>
      </c>
      <c r="B787" s="16" t="s">
        <v>75</v>
      </c>
      <c r="C787" s="16" t="str">
        <f t="shared" si="1"/>
        <v>Cali</v>
      </c>
      <c r="D787" s="16" t="str">
        <f t="shared" si="2"/>
        <v>Cali</v>
      </c>
      <c r="E787" s="16" t="str">
        <f t="shared" si="3"/>
        <v>Cali</v>
      </c>
      <c r="F787" s="16" t="s">
        <v>94</v>
      </c>
      <c r="G787" s="17" t="str">
        <f>IFERROR(__xludf.DUMMYFUNCTION("SPLIT(F787:F1786,""-"") "),"Tablet")</f>
        <v>Tablet</v>
      </c>
      <c r="H787" s="16" t="str">
        <f>IFERROR(__xludf.DUMMYFUNCTION("""COMPUTED_VALUE"""),"Mini")</f>
        <v>Mini</v>
      </c>
      <c r="I787" s="16" t="str">
        <f>IFERROR(__xludf.DUMMYFUNCTION("""COMPUTED_VALUE"""),"8GB")</f>
        <v>8GB</v>
      </c>
      <c r="J787" s="18">
        <v>848.42</v>
      </c>
      <c r="K787" s="16">
        <v>3.0</v>
      </c>
      <c r="L787" s="18">
        <v>2545.26</v>
      </c>
      <c r="M787" s="16" t="s">
        <v>2180</v>
      </c>
      <c r="N787" s="16" t="s">
        <v>2181</v>
      </c>
      <c r="O787" s="21" t="s">
        <v>2182</v>
      </c>
    </row>
    <row r="788" ht="15.75" customHeight="1">
      <c r="A788" s="19">
        <v>45582.0</v>
      </c>
      <c r="B788" s="16" t="s">
        <v>2359</v>
      </c>
      <c r="C788" s="16" t="str">
        <f t="shared" si="1"/>
        <v>Ciudad De M√©Xico</v>
      </c>
      <c r="D788" s="16" t="str">
        <f t="shared" si="2"/>
        <v>Ciudad De M√©Xico</v>
      </c>
      <c r="E788" s="16" t="str">
        <f t="shared" si="3"/>
        <v>Ciudad De MéXico</v>
      </c>
      <c r="F788" s="16" t="s">
        <v>54</v>
      </c>
      <c r="G788" s="17" t="str">
        <f>IFERROR(__xludf.DUMMYFUNCTION("SPLIT(F788:F1787,""-"") "),"Laptop")</f>
        <v>Laptop</v>
      </c>
      <c r="H788" s="16" t="str">
        <f>IFERROR(__xludf.DUMMYFUNCTION("""COMPUTED_VALUE"""),"Oficina")</f>
        <v>Oficina</v>
      </c>
      <c r="I788" s="16" t="str">
        <f>IFERROR(__xludf.DUMMYFUNCTION("""COMPUTED_VALUE"""),"8GB")</f>
        <v>8GB</v>
      </c>
      <c r="J788" s="18">
        <v>303.84</v>
      </c>
      <c r="K788" s="16">
        <v>1.0</v>
      </c>
      <c r="L788" s="18">
        <v>303.84</v>
      </c>
      <c r="M788" s="16" t="s">
        <v>380</v>
      </c>
      <c r="N788" s="16" t="s">
        <v>381</v>
      </c>
      <c r="O788" s="16" t="s">
        <v>382</v>
      </c>
    </row>
    <row r="789" ht="15.75" customHeight="1">
      <c r="A789" s="19">
        <v>45624.0</v>
      </c>
      <c r="B789" s="16" t="s">
        <v>75</v>
      </c>
      <c r="C789" s="16" t="str">
        <f t="shared" si="1"/>
        <v>Cali</v>
      </c>
      <c r="D789" s="16" t="str">
        <f t="shared" si="2"/>
        <v>Cali</v>
      </c>
      <c r="E789" s="16" t="str">
        <f t="shared" si="3"/>
        <v>Cali</v>
      </c>
      <c r="F789" s="16" t="s">
        <v>132</v>
      </c>
      <c r="G789" s="17" t="str">
        <f>IFERROR(__xludf.DUMMYFUNCTION("SPLIT(F789:F1788,""-"") "),"Tablet")</f>
        <v>Tablet</v>
      </c>
      <c r="H789" s="16" t="str">
        <f>IFERROR(__xludf.DUMMYFUNCTION("""COMPUTED_VALUE"""),"Pro")</f>
        <v>Pro</v>
      </c>
      <c r="I789" s="16" t="str">
        <f>IFERROR(__xludf.DUMMYFUNCTION("""COMPUTED_VALUE"""),"8GB")</f>
        <v>8GB</v>
      </c>
      <c r="J789" s="18">
        <v>684.7</v>
      </c>
      <c r="K789" s="16">
        <v>5.0</v>
      </c>
      <c r="L789" s="18">
        <v>3423.5</v>
      </c>
      <c r="M789" s="16" t="s">
        <v>1577</v>
      </c>
      <c r="N789" s="16" t="s">
        <v>1578</v>
      </c>
      <c r="O789" s="16" t="s">
        <v>1579</v>
      </c>
    </row>
    <row r="790" ht="15.75" customHeight="1">
      <c r="A790" s="19">
        <v>45644.0</v>
      </c>
      <c r="B790" s="16" t="s">
        <v>14</v>
      </c>
      <c r="C790" s="16" t="str">
        <f t="shared" si="1"/>
        <v>Bogotá</v>
      </c>
      <c r="D790" s="16" t="str">
        <f t="shared" si="2"/>
        <v>Bogotá</v>
      </c>
      <c r="E790" s="16" t="str">
        <f t="shared" si="3"/>
        <v>Bogotá</v>
      </c>
      <c r="F790" s="16" t="s">
        <v>319</v>
      </c>
      <c r="G790" s="17" t="str">
        <f>IFERROR(__xludf.DUMMYFUNCTION("SPLIT(F790:F1789,""-"") "),"Tablet")</f>
        <v>Tablet</v>
      </c>
      <c r="H790" s="16" t="str">
        <f>IFERROR(__xludf.DUMMYFUNCTION("""COMPUTED_VALUE"""),"Pro")</f>
        <v>Pro</v>
      </c>
      <c r="I790" s="16" t="str">
        <f>IFERROR(__xludf.DUMMYFUNCTION("""COMPUTED_VALUE"""),"32GB")</f>
        <v>32GB</v>
      </c>
      <c r="J790" s="18">
        <v>1876.74</v>
      </c>
      <c r="K790" s="16">
        <v>3.0</v>
      </c>
      <c r="L790" s="18">
        <v>5630.22</v>
      </c>
      <c r="M790" s="16" t="s">
        <v>1960</v>
      </c>
      <c r="N790" s="16" t="s">
        <v>1961</v>
      </c>
      <c r="O790" s="16" t="s">
        <v>1962</v>
      </c>
    </row>
    <row r="791" ht="15.75" customHeight="1">
      <c r="A791" s="19">
        <v>45648.0</v>
      </c>
      <c r="B791" s="16" t="s">
        <v>75</v>
      </c>
      <c r="C791" s="16" t="str">
        <f t="shared" si="1"/>
        <v>Cali</v>
      </c>
      <c r="D791" s="16" t="str">
        <f t="shared" si="2"/>
        <v>Cali</v>
      </c>
      <c r="E791" s="16" t="str">
        <f t="shared" si="3"/>
        <v>Cali</v>
      </c>
      <c r="F791" s="16" t="s">
        <v>186</v>
      </c>
      <c r="G791" s="17" t="str">
        <f>IFERROR(__xludf.DUMMYFUNCTION("SPLIT(F791:F1790,""-"") "),"Auriculares")</f>
        <v>Auriculares</v>
      </c>
      <c r="H791" s="16" t="str">
        <f>IFERROR(__xludf.DUMMYFUNCTION("""COMPUTED_VALUE"""),"Cancelaci√≥n de ruido")</f>
        <v>Cancelaci√≥n de ruido</v>
      </c>
      <c r="I791" s="16" t="str">
        <f>IFERROR(__xludf.DUMMYFUNCTION("""COMPUTED_VALUE"""),"16GB")</f>
        <v>16GB</v>
      </c>
      <c r="J791" s="18">
        <v>1770.14</v>
      </c>
      <c r="K791" s="16">
        <v>1.0</v>
      </c>
      <c r="L791" s="18">
        <v>1770.14</v>
      </c>
      <c r="M791" s="16" t="s">
        <v>2084</v>
      </c>
      <c r="N791" s="16" t="s">
        <v>2085</v>
      </c>
      <c r="O791" s="16" t="s">
        <v>2086</v>
      </c>
    </row>
    <row r="792" ht="15.75" customHeight="1">
      <c r="A792" s="23">
        <v>45516.0</v>
      </c>
      <c r="B792" s="16" t="s">
        <v>9</v>
      </c>
      <c r="C792" s="16" t="str">
        <f t="shared" si="1"/>
        <v>Monterrey</v>
      </c>
      <c r="D792" s="16" t="str">
        <f t="shared" si="2"/>
        <v>Monterrey</v>
      </c>
      <c r="E792" s="16" t="str">
        <f t="shared" si="3"/>
        <v>Monterrey</v>
      </c>
      <c r="F792" s="16" t="s">
        <v>233</v>
      </c>
      <c r="G792" s="17" t="str">
        <f>IFERROR(__xludf.DUMMYFUNCTION("SPLIT(F792:F1791,""-"") "),"Tablet")</f>
        <v>Tablet</v>
      </c>
      <c r="H792" s="16" t="str">
        <f>IFERROR(__xludf.DUMMYFUNCTION("""COMPUTED_VALUE"""),"Mini")</f>
        <v>Mini</v>
      </c>
      <c r="I792" s="16" t="str">
        <f>IFERROR(__xludf.DUMMYFUNCTION("""COMPUTED_VALUE"""),"16GB")</f>
        <v>16GB</v>
      </c>
      <c r="J792" s="18">
        <v>815.48</v>
      </c>
      <c r="K792" s="16">
        <v>2.0</v>
      </c>
      <c r="L792" s="18">
        <v>1630.96</v>
      </c>
      <c r="M792" s="16" t="s">
        <v>2989</v>
      </c>
      <c r="N792" s="16" t="s">
        <v>2990</v>
      </c>
      <c r="O792" s="16" t="s">
        <v>2991</v>
      </c>
    </row>
    <row r="793" ht="15.75" customHeight="1">
      <c r="A793" s="19">
        <v>45592.0</v>
      </c>
      <c r="B793" s="16" t="s">
        <v>58</v>
      </c>
      <c r="C793" s="16" t="str">
        <f t="shared" si="1"/>
        <v>Guadalajara</v>
      </c>
      <c r="D793" s="16" t="str">
        <f t="shared" si="2"/>
        <v>Guadalajara</v>
      </c>
      <c r="E793" s="16" t="str">
        <f t="shared" si="3"/>
        <v>Guadalajara</v>
      </c>
      <c r="F793" s="16" t="s">
        <v>666</v>
      </c>
      <c r="G793" s="17" t="str">
        <f>IFERROR(__xludf.DUMMYFUNCTION("SPLIT(F793:F1792,""-"") "),"Auriculares")</f>
        <v>Auriculares</v>
      </c>
      <c r="H793" s="16" t="str">
        <f>IFERROR(__xludf.DUMMYFUNCTION("""COMPUTED_VALUE"""),"Cancelación de ruido")</f>
        <v>Cancelación de ruido</v>
      </c>
      <c r="I793" s="16" t="str">
        <f>IFERROR(__xludf.DUMMYFUNCTION("""COMPUTED_VALUE"""),"32GB")</f>
        <v>32GB</v>
      </c>
      <c r="J793" s="18">
        <v>986.08</v>
      </c>
      <c r="K793" s="16">
        <v>4.0</v>
      </c>
      <c r="L793" s="18">
        <v>3944.32</v>
      </c>
      <c r="M793" s="16" t="s">
        <v>691</v>
      </c>
      <c r="N793" s="16" t="s">
        <v>692</v>
      </c>
      <c r="O793" s="16" t="s">
        <v>693</v>
      </c>
    </row>
    <row r="794" ht="15.75" customHeight="1">
      <c r="A794" s="23">
        <v>45575.0</v>
      </c>
      <c r="B794" s="16" t="s">
        <v>2359</v>
      </c>
      <c r="C794" s="16" t="str">
        <f t="shared" si="1"/>
        <v>Ciudad De M√©Xico</v>
      </c>
      <c r="D794" s="16" t="str">
        <f t="shared" si="2"/>
        <v>Ciudad De M√©Xico</v>
      </c>
      <c r="E794" s="16" t="str">
        <f t="shared" si="3"/>
        <v>Ciudad De MéXico</v>
      </c>
      <c r="F794" s="16" t="s">
        <v>94</v>
      </c>
      <c r="G794" s="17" t="str">
        <f>IFERROR(__xludf.DUMMYFUNCTION("SPLIT(F794:F1793,""-"") "),"Tablet")</f>
        <v>Tablet</v>
      </c>
      <c r="H794" s="16" t="str">
        <f>IFERROR(__xludf.DUMMYFUNCTION("""COMPUTED_VALUE"""),"Mini")</f>
        <v>Mini</v>
      </c>
      <c r="I794" s="16" t="str">
        <f>IFERROR(__xludf.DUMMYFUNCTION("""COMPUTED_VALUE"""),"8GB")</f>
        <v>8GB</v>
      </c>
      <c r="J794" s="18">
        <v>646.22</v>
      </c>
      <c r="K794" s="16">
        <v>2.0</v>
      </c>
      <c r="L794" s="18">
        <v>1292.44</v>
      </c>
      <c r="M794" s="16" t="s">
        <v>95</v>
      </c>
      <c r="N794" s="16" t="s">
        <v>96</v>
      </c>
      <c r="O794" s="16" t="s">
        <v>97</v>
      </c>
    </row>
    <row r="795" ht="15.75" customHeight="1">
      <c r="A795" s="19">
        <v>45587.0</v>
      </c>
      <c r="B795" s="16" t="s">
        <v>2359</v>
      </c>
      <c r="C795" s="16" t="str">
        <f t="shared" si="1"/>
        <v>Ciudad De M√©Xico</v>
      </c>
      <c r="D795" s="16" t="str">
        <f t="shared" si="2"/>
        <v>Ciudad De M√©Xico</v>
      </c>
      <c r="E795" s="16" t="str">
        <f t="shared" si="3"/>
        <v>Ciudad De MéXico</v>
      </c>
      <c r="F795" s="16" t="s">
        <v>229</v>
      </c>
      <c r="G795" s="17" t="str">
        <f>IFERROR(__xludf.DUMMYFUNCTION("SPLIT(F795:F1794,""-"") "),"Laptop")</f>
        <v>Laptop</v>
      </c>
      <c r="H795" s="16" t="str">
        <f>IFERROR(__xludf.DUMMYFUNCTION("""COMPUTED_VALUE"""),"Oficina")</f>
        <v>Oficina</v>
      </c>
      <c r="I795" s="16" t="str">
        <f>IFERROR(__xludf.DUMMYFUNCTION("""COMPUTED_VALUE"""),"4GB")</f>
        <v>4GB</v>
      </c>
      <c r="J795" s="18">
        <v>2240.54</v>
      </c>
      <c r="K795" s="16">
        <v>2.0</v>
      </c>
      <c r="L795" s="18">
        <v>4481.08</v>
      </c>
      <c r="M795" s="16" t="s">
        <v>538</v>
      </c>
      <c r="N795" s="16" t="s">
        <v>539</v>
      </c>
      <c r="O795" s="16" t="s">
        <v>540</v>
      </c>
    </row>
    <row r="796" ht="15.75" customHeight="1">
      <c r="A796" s="19">
        <v>45590.0</v>
      </c>
      <c r="B796" s="16" t="s">
        <v>58</v>
      </c>
      <c r="C796" s="16" t="str">
        <f t="shared" si="1"/>
        <v>Guadalajara</v>
      </c>
      <c r="D796" s="16" t="str">
        <f t="shared" si="2"/>
        <v>Guadalajara</v>
      </c>
      <c r="E796" s="16" t="str">
        <f t="shared" si="3"/>
        <v>Guadalajara</v>
      </c>
      <c r="F796" s="16" t="s">
        <v>430</v>
      </c>
      <c r="G796" s="17" t="str">
        <f>IFERROR(__xludf.DUMMYFUNCTION("SPLIT(F796:F1795,""-"") "),"Teléfono")</f>
        <v>Teléfono</v>
      </c>
      <c r="H796" s="16" t="str">
        <f>IFERROR(__xludf.DUMMYFUNCTION("""COMPUTED_VALUE"""),"Gama alta")</f>
        <v>Gama alta</v>
      </c>
      <c r="I796" s="16" t="str">
        <f>IFERROR(__xludf.DUMMYFUNCTION("""COMPUTED_VALUE"""),"4GB")</f>
        <v>4GB</v>
      </c>
      <c r="J796" s="18">
        <v>1260.9</v>
      </c>
      <c r="K796" s="16">
        <v>3.0</v>
      </c>
      <c r="L796" s="18">
        <v>3782.7</v>
      </c>
      <c r="M796" s="16" t="s">
        <v>635</v>
      </c>
      <c r="N796" s="16" t="s">
        <v>636</v>
      </c>
      <c r="O796" s="16" t="s">
        <v>637</v>
      </c>
    </row>
    <row r="797" ht="15.75" customHeight="1">
      <c r="A797" s="23">
        <v>45334.0</v>
      </c>
      <c r="B797" s="16" t="s">
        <v>58</v>
      </c>
      <c r="C797" s="16" t="str">
        <f t="shared" si="1"/>
        <v>Guadalajara</v>
      </c>
      <c r="D797" s="16" t="str">
        <f t="shared" si="2"/>
        <v>Guadalajara</v>
      </c>
      <c r="E797" s="16" t="str">
        <f t="shared" si="3"/>
        <v>Guadalajara</v>
      </c>
      <c r="F797" s="16" t="s">
        <v>233</v>
      </c>
      <c r="G797" s="17" t="str">
        <f>IFERROR(__xludf.DUMMYFUNCTION("SPLIT(F797:F1796,""-"") "),"Tablet")</f>
        <v>Tablet</v>
      </c>
      <c r="H797" s="16" t="str">
        <f>IFERROR(__xludf.DUMMYFUNCTION("""COMPUTED_VALUE"""),"Mini")</f>
        <v>Mini</v>
      </c>
      <c r="I797" s="16" t="str">
        <f>IFERROR(__xludf.DUMMYFUNCTION("""COMPUTED_VALUE"""),"16GB")</f>
        <v>16GB</v>
      </c>
      <c r="J797" s="18">
        <v>540.19</v>
      </c>
      <c r="K797" s="16">
        <v>4.0</v>
      </c>
      <c r="L797" s="18">
        <v>2160.76</v>
      </c>
      <c r="M797" s="16" t="s">
        <v>2992</v>
      </c>
      <c r="N797" s="16" t="s">
        <v>2993</v>
      </c>
      <c r="O797" s="16" t="s">
        <v>2994</v>
      </c>
    </row>
    <row r="798" ht="15.75" customHeight="1">
      <c r="A798" s="19">
        <v>45645.0</v>
      </c>
      <c r="B798" s="16" t="s">
        <v>75</v>
      </c>
      <c r="C798" s="16" t="str">
        <f t="shared" si="1"/>
        <v>Cali</v>
      </c>
      <c r="D798" s="16" t="str">
        <f t="shared" si="2"/>
        <v>Cali</v>
      </c>
      <c r="E798" s="16" t="str">
        <f t="shared" si="3"/>
        <v>Cali</v>
      </c>
      <c r="F798" s="16" t="s">
        <v>182</v>
      </c>
      <c r="G798" s="17" t="str">
        <f>IFERROR(__xludf.DUMMYFUNCTION("SPLIT(F798:F1797,""-"") "),"Tablet")</f>
        <v>Tablet</v>
      </c>
      <c r="H798" s="16" t="str">
        <f>IFERROR(__xludf.DUMMYFUNCTION("""COMPUTED_VALUE"""),"Mini")</f>
        <v>Mini</v>
      </c>
      <c r="I798" s="16" t="str">
        <f>IFERROR(__xludf.DUMMYFUNCTION("""COMPUTED_VALUE"""),"4GB")</f>
        <v>4GB</v>
      </c>
      <c r="J798" s="18">
        <v>1254.96</v>
      </c>
      <c r="K798" s="16">
        <v>1.0</v>
      </c>
      <c r="L798" s="18">
        <v>1254.96</v>
      </c>
      <c r="M798" s="16" t="s">
        <v>1999</v>
      </c>
      <c r="N798" s="16" t="s">
        <v>2000</v>
      </c>
      <c r="O798" s="16" t="s">
        <v>2001</v>
      </c>
    </row>
    <row r="799" ht="15.75" customHeight="1">
      <c r="A799" s="19">
        <v>45579.0</v>
      </c>
      <c r="B799" s="16" t="s">
        <v>9</v>
      </c>
      <c r="C799" s="16" t="str">
        <f t="shared" si="1"/>
        <v>Monterrey</v>
      </c>
      <c r="D799" s="16" t="str">
        <f t="shared" si="2"/>
        <v>Monterrey</v>
      </c>
      <c r="E799" s="16" t="str">
        <f t="shared" si="3"/>
        <v>Monterrey</v>
      </c>
      <c r="F799" s="16" t="s">
        <v>94</v>
      </c>
      <c r="G799" s="17" t="str">
        <f>IFERROR(__xludf.DUMMYFUNCTION("SPLIT(F799:F1798,""-"") "),"Tablet")</f>
        <v>Tablet</v>
      </c>
      <c r="H799" s="16" t="str">
        <f>IFERROR(__xludf.DUMMYFUNCTION("""COMPUTED_VALUE"""),"Mini")</f>
        <v>Mini</v>
      </c>
      <c r="I799" s="16" t="str">
        <f>IFERROR(__xludf.DUMMYFUNCTION("""COMPUTED_VALUE"""),"8GB")</f>
        <v>8GB</v>
      </c>
      <c r="J799" s="18">
        <v>1037.64</v>
      </c>
      <c r="K799" s="16">
        <v>3.0</v>
      </c>
      <c r="L799" s="18">
        <v>3112.92</v>
      </c>
      <c r="M799" s="16" t="s">
        <v>243</v>
      </c>
      <c r="N799" s="16" t="s">
        <v>244</v>
      </c>
      <c r="O799" s="21" t="s">
        <v>245</v>
      </c>
    </row>
    <row r="800" ht="15.75" customHeight="1">
      <c r="A800" s="23">
        <v>45547.0</v>
      </c>
      <c r="B800" s="16" t="s">
        <v>2359</v>
      </c>
      <c r="C800" s="16" t="str">
        <f t="shared" si="1"/>
        <v>Ciudad De M√©Xico</v>
      </c>
      <c r="D800" s="16" t="str">
        <f t="shared" si="2"/>
        <v>Ciudad De M√©Xico</v>
      </c>
      <c r="E800" s="16" t="str">
        <f t="shared" si="3"/>
        <v>Ciudad De MéXico</v>
      </c>
      <c r="F800" s="16" t="s">
        <v>255</v>
      </c>
      <c r="G800" s="17" t="str">
        <f>IFERROR(__xludf.DUMMYFUNCTION("SPLIT(F800:F1799,""-"") "),"Auriculares")</f>
        <v>Auriculares</v>
      </c>
      <c r="H800" s="16" t="str">
        <f>IFERROR(__xludf.DUMMYFUNCTION("""COMPUTED_VALUE"""),"Bluetooth")</f>
        <v>Bluetooth</v>
      </c>
      <c r="I800" s="16" t="str">
        <f>IFERROR(__xludf.DUMMYFUNCTION("""COMPUTED_VALUE"""),"8GB")</f>
        <v>8GB</v>
      </c>
      <c r="J800" s="18">
        <v>1273.07</v>
      </c>
      <c r="K800" s="16">
        <v>3.0</v>
      </c>
      <c r="L800" s="18">
        <v>3819.21</v>
      </c>
      <c r="M800" s="16" t="s">
        <v>2995</v>
      </c>
      <c r="N800" s="16" t="s">
        <v>2996</v>
      </c>
      <c r="O800" s="16" t="s">
        <v>2997</v>
      </c>
    </row>
    <row r="801" ht="15.75" customHeight="1">
      <c r="A801" s="19">
        <v>45585.0</v>
      </c>
      <c r="B801" s="16" t="s">
        <v>75</v>
      </c>
      <c r="C801" s="16" t="str">
        <f t="shared" si="1"/>
        <v>Cali</v>
      </c>
      <c r="D801" s="16" t="str">
        <f t="shared" si="2"/>
        <v>Cali</v>
      </c>
      <c r="E801" s="16" t="str">
        <f t="shared" si="3"/>
        <v>Cali</v>
      </c>
      <c r="F801" s="16" t="s">
        <v>71</v>
      </c>
      <c r="G801" s="17" t="str">
        <f>IFERROR(__xludf.DUMMYFUNCTION("SPLIT(F801:F1800,""-"") "),"Auriculares")</f>
        <v>Auriculares</v>
      </c>
      <c r="H801" s="16" t="str">
        <f>IFERROR(__xludf.DUMMYFUNCTION("""COMPUTED_VALUE"""),"Bluetooth")</f>
        <v>Bluetooth</v>
      </c>
      <c r="I801" s="16" t="str">
        <f>IFERROR(__xludf.DUMMYFUNCTION("""COMPUTED_VALUE"""),"16GB")</f>
        <v>16GB</v>
      </c>
      <c r="J801" s="18">
        <v>2430.43</v>
      </c>
      <c r="K801" s="16">
        <v>5.0</v>
      </c>
      <c r="L801" s="18">
        <v>12152.15</v>
      </c>
      <c r="M801" s="16" t="s">
        <v>486</v>
      </c>
      <c r="N801" s="16" t="s">
        <v>487</v>
      </c>
      <c r="O801" s="16" t="s">
        <v>488</v>
      </c>
    </row>
    <row r="802" ht="15.75" customHeight="1">
      <c r="A802" s="19">
        <v>45612.0</v>
      </c>
      <c r="B802" s="16" t="s">
        <v>9</v>
      </c>
      <c r="C802" s="16" t="str">
        <f t="shared" si="1"/>
        <v>Monterrey</v>
      </c>
      <c r="D802" s="16" t="str">
        <f t="shared" si="2"/>
        <v>Monterrey</v>
      </c>
      <c r="E802" s="16" t="str">
        <f t="shared" si="3"/>
        <v>Monterrey</v>
      </c>
      <c r="F802" s="16" t="s">
        <v>67</v>
      </c>
      <c r="G802" s="17" t="str">
        <f>IFERROR(__xludf.DUMMYFUNCTION("SPLIT(F802:F1801,""-"") "),"Tablet")</f>
        <v>Tablet</v>
      </c>
      <c r="H802" s="16" t="str">
        <f>IFERROR(__xludf.DUMMYFUNCTION("""COMPUTED_VALUE"""),"Estándar")</f>
        <v>Estándar</v>
      </c>
      <c r="I802" s="16" t="str">
        <f>IFERROR(__xludf.DUMMYFUNCTION("""COMPUTED_VALUE"""),"4GB")</f>
        <v>4GB</v>
      </c>
      <c r="J802" s="18">
        <v>1203.93</v>
      </c>
      <c r="K802" s="16">
        <v>4.0</v>
      </c>
      <c r="L802" s="18">
        <v>4815.72</v>
      </c>
      <c r="M802" s="16" t="s">
        <v>1185</v>
      </c>
      <c r="N802" s="16" t="s">
        <v>1186</v>
      </c>
      <c r="O802" s="16" t="s">
        <v>1187</v>
      </c>
    </row>
    <row r="803" ht="15.75" customHeight="1">
      <c r="A803" s="19">
        <v>45617.0</v>
      </c>
      <c r="B803" s="16" t="s">
        <v>75</v>
      </c>
      <c r="C803" s="16" t="str">
        <f t="shared" si="1"/>
        <v>Cali</v>
      </c>
      <c r="D803" s="16" t="str">
        <f t="shared" si="2"/>
        <v>Cali</v>
      </c>
      <c r="E803" s="16" t="str">
        <f t="shared" si="3"/>
        <v>Cali</v>
      </c>
      <c r="F803" s="16" t="s">
        <v>23</v>
      </c>
      <c r="G803" s="17" t="str">
        <f>IFERROR(__xludf.DUMMYFUNCTION("SPLIT(F803:F1802,""-"") "),"Tablet")</f>
        <v>Tablet</v>
      </c>
      <c r="H803" s="16" t="str">
        <f>IFERROR(__xludf.DUMMYFUNCTION("""COMPUTED_VALUE"""),"Estándar")</f>
        <v>Estándar</v>
      </c>
      <c r="I803" s="16" t="str">
        <f>IFERROR(__xludf.DUMMYFUNCTION("""COMPUTED_VALUE"""),"16GB")</f>
        <v>16GB</v>
      </c>
      <c r="J803" s="22">
        <f>(L803/K803) </f>
        <v>2408.85</v>
      </c>
      <c r="K803" s="16">
        <v>4.0</v>
      </c>
      <c r="L803" s="18">
        <v>9635.4</v>
      </c>
      <c r="M803" s="16" t="s">
        <v>1359</v>
      </c>
      <c r="N803" s="16" t="s">
        <v>1360</v>
      </c>
      <c r="O803" s="16" t="s">
        <v>1361</v>
      </c>
    </row>
    <row r="804" ht="15.75" customHeight="1">
      <c r="A804" s="19">
        <v>45614.0</v>
      </c>
      <c r="B804" s="16" t="s">
        <v>14</v>
      </c>
      <c r="C804" s="16" t="str">
        <f t="shared" si="1"/>
        <v>Bogotá</v>
      </c>
      <c r="D804" s="16" t="str">
        <f t="shared" si="2"/>
        <v>Bogotá</v>
      </c>
      <c r="E804" s="16" t="str">
        <f t="shared" si="3"/>
        <v>Bogotá</v>
      </c>
      <c r="F804" s="16" t="s">
        <v>59</v>
      </c>
      <c r="G804" s="17" t="str">
        <f>IFERROR(__xludf.DUMMYFUNCTION("SPLIT(F804:F1803,""-"") "),"Auriculares")</f>
        <v>Auriculares</v>
      </c>
      <c r="H804" s="16" t="str">
        <f>IFERROR(__xludf.DUMMYFUNCTION("""COMPUTED_VALUE"""),"Bluetooth")</f>
        <v>Bluetooth</v>
      </c>
      <c r="I804" s="16" t="str">
        <f>IFERROR(__xludf.DUMMYFUNCTION("""COMPUTED_VALUE"""),"4GB")</f>
        <v>4GB</v>
      </c>
      <c r="J804" s="18">
        <v>2426.87</v>
      </c>
      <c r="K804" s="16">
        <v>5.0</v>
      </c>
      <c r="L804" s="18">
        <v>12134.35</v>
      </c>
      <c r="M804" s="16" t="s">
        <v>1257</v>
      </c>
      <c r="N804" s="16" t="s">
        <v>1258</v>
      </c>
      <c r="O804" s="16" t="s">
        <v>1259</v>
      </c>
    </row>
    <row r="805" ht="15.75" customHeight="1">
      <c r="A805" s="23">
        <v>45575.0</v>
      </c>
      <c r="B805" s="16" t="s">
        <v>58</v>
      </c>
      <c r="C805" s="16" t="str">
        <f t="shared" si="1"/>
        <v>Guadalajara</v>
      </c>
      <c r="D805" s="16" t="str">
        <f t="shared" si="2"/>
        <v>Guadalajara</v>
      </c>
      <c r="E805" s="16" t="str">
        <f t="shared" si="3"/>
        <v>Guadalajara</v>
      </c>
      <c r="F805" s="16" t="s">
        <v>36</v>
      </c>
      <c r="G805" s="17" t="str">
        <f>IFERROR(__xludf.DUMMYFUNCTION("SPLIT(F805:F1804,""-"") "),"Tablet")</f>
        <v>Tablet</v>
      </c>
      <c r="H805" s="16" t="str">
        <f>IFERROR(__xludf.DUMMYFUNCTION("""COMPUTED_VALUE"""),"Pro")</f>
        <v>Pro</v>
      </c>
      <c r="I805" s="16" t="str">
        <f>IFERROR(__xludf.DUMMYFUNCTION("""COMPUTED_VALUE"""),"4GB")</f>
        <v>4GB</v>
      </c>
      <c r="J805" s="18">
        <v>1848.98</v>
      </c>
      <c r="K805" s="16">
        <v>3.0</v>
      </c>
      <c r="L805" s="18">
        <v>5546.94</v>
      </c>
      <c r="M805" s="16" t="s">
        <v>98</v>
      </c>
      <c r="N805" s="16" t="s">
        <v>99</v>
      </c>
      <c r="O805" s="16" t="s">
        <v>100</v>
      </c>
    </row>
    <row r="806" ht="15.75" customHeight="1">
      <c r="A806" s="23">
        <v>45393.0</v>
      </c>
      <c r="B806" s="16" t="s">
        <v>9</v>
      </c>
      <c r="C806" s="16" t="str">
        <f t="shared" si="1"/>
        <v>Monterrey</v>
      </c>
      <c r="D806" s="16" t="str">
        <f t="shared" si="2"/>
        <v>Monterrey</v>
      </c>
      <c r="E806" s="16" t="str">
        <f t="shared" si="3"/>
        <v>Monterrey</v>
      </c>
      <c r="F806" s="16" t="s">
        <v>272</v>
      </c>
      <c r="G806" s="17" t="str">
        <f>IFERROR(__xludf.DUMMYFUNCTION("SPLIT(F806:F1805,""-"") "),"Teléfono")</f>
        <v>Teléfono</v>
      </c>
      <c r="H806" s="16" t="str">
        <f>IFERROR(__xludf.DUMMYFUNCTION("""COMPUTED_VALUE"""),"Gama baja")</f>
        <v>Gama baja</v>
      </c>
      <c r="I806" s="16" t="str">
        <f>IFERROR(__xludf.DUMMYFUNCTION("""COMPUTED_VALUE"""),"32GB")</f>
        <v>32GB</v>
      </c>
      <c r="J806" s="18">
        <v>1436.52</v>
      </c>
      <c r="K806" s="16">
        <v>2.0</v>
      </c>
      <c r="L806" s="18">
        <v>2873.04</v>
      </c>
      <c r="M806" s="16" t="s">
        <v>2998</v>
      </c>
      <c r="N806" s="16" t="s">
        <v>2999</v>
      </c>
      <c r="O806" s="16" t="s">
        <v>3000</v>
      </c>
    </row>
    <row r="807" ht="15.75" customHeight="1">
      <c r="A807" s="19">
        <v>45583.0</v>
      </c>
      <c r="B807" s="16" t="s">
        <v>58</v>
      </c>
      <c r="C807" s="16" t="str">
        <f t="shared" si="1"/>
        <v>Guadalajara</v>
      </c>
      <c r="D807" s="16" t="str">
        <f t="shared" si="2"/>
        <v>Guadalajara</v>
      </c>
      <c r="E807" s="16" t="str">
        <f t="shared" si="3"/>
        <v>Guadalajara</v>
      </c>
      <c r="F807" s="16" t="s">
        <v>225</v>
      </c>
      <c r="G807" s="17" t="str">
        <f>IFERROR(__xludf.DUMMYFUNCTION("SPLIT(F807:F1806,""-"") "),"Laptop")</f>
        <v>Laptop</v>
      </c>
      <c r="H807" s="16" t="str">
        <f>IFERROR(__xludf.DUMMYFUNCTION("""COMPUTED_VALUE"""),"Gaming")</f>
        <v>Gaming</v>
      </c>
      <c r="I807" s="16" t="str">
        <f>IFERROR(__xludf.DUMMYFUNCTION("""COMPUTED_VALUE"""),"16GB")</f>
        <v>16GB</v>
      </c>
      <c r="J807" s="18">
        <v>904.01</v>
      </c>
      <c r="K807" s="16">
        <v>1.0</v>
      </c>
      <c r="L807" s="18">
        <v>904.01</v>
      </c>
      <c r="M807" s="16" t="s">
        <v>415</v>
      </c>
      <c r="N807" s="16" t="s">
        <v>416</v>
      </c>
      <c r="O807" s="16" t="s">
        <v>417</v>
      </c>
    </row>
    <row r="808" ht="15.75" customHeight="1">
      <c r="A808" s="23">
        <v>45394.0</v>
      </c>
      <c r="B808" s="16" t="s">
        <v>9</v>
      </c>
      <c r="C808" s="16" t="str">
        <f t="shared" si="1"/>
        <v>Monterrey</v>
      </c>
      <c r="D808" s="16" t="str">
        <f t="shared" si="2"/>
        <v>Monterrey</v>
      </c>
      <c r="E808" s="16" t="str">
        <f t="shared" si="3"/>
        <v>Monterrey</v>
      </c>
      <c r="F808" s="16" t="s">
        <v>3001</v>
      </c>
      <c r="G808" s="17" t="str">
        <f>IFERROR(__xludf.DUMMYFUNCTION("SPLIT(F808:F1807,""-"") "),"Tablet")</f>
        <v>Tablet</v>
      </c>
      <c r="H808" s="16" t="str">
        <f>IFERROR(__xludf.DUMMYFUNCTION("""COMPUTED_VALUE"""),"Mini")</f>
        <v>Mini</v>
      </c>
      <c r="I808" s="16" t="str">
        <f>IFERROR(__xludf.DUMMYFUNCTION("""COMPUTED_VALUE"""),"4GB ")</f>
        <v>4GB </v>
      </c>
      <c r="J808" s="18">
        <v>344.69</v>
      </c>
      <c r="K808" s="16">
        <v>5.0</v>
      </c>
      <c r="L808" s="18">
        <v>1723.45</v>
      </c>
      <c r="M808" s="16" t="s">
        <v>3002</v>
      </c>
      <c r="N808" s="16" t="s">
        <v>3003</v>
      </c>
      <c r="O808" s="16" t="s">
        <v>3004</v>
      </c>
    </row>
    <row r="809" ht="15.75" customHeight="1">
      <c r="A809" s="19">
        <v>45584.0</v>
      </c>
      <c r="B809" s="16" t="s">
        <v>58</v>
      </c>
      <c r="C809" s="16" t="str">
        <f t="shared" si="1"/>
        <v>Guadalajara</v>
      </c>
      <c r="D809" s="16" t="str">
        <f t="shared" si="2"/>
        <v>Guadalajara</v>
      </c>
      <c r="E809" s="16" t="str">
        <f t="shared" si="3"/>
        <v>Guadalajara</v>
      </c>
      <c r="F809" s="16" t="s">
        <v>272</v>
      </c>
      <c r="G809" s="17" t="str">
        <f>IFERROR(__xludf.DUMMYFUNCTION("SPLIT(F809:F1808,""-"") "),"Teléfono")</f>
        <v>Teléfono</v>
      </c>
      <c r="H809" s="16" t="str">
        <f>IFERROR(__xludf.DUMMYFUNCTION("""COMPUTED_VALUE"""),"Gama baja")</f>
        <v>Gama baja</v>
      </c>
      <c r="I809" s="16" t="str">
        <f>IFERROR(__xludf.DUMMYFUNCTION("""COMPUTED_VALUE"""),"32GB")</f>
        <v>32GB</v>
      </c>
      <c r="J809" s="18">
        <v>1564.37</v>
      </c>
      <c r="K809" s="16">
        <v>1.0</v>
      </c>
      <c r="L809" s="18">
        <v>1564.37</v>
      </c>
      <c r="M809" s="16" t="s">
        <v>443</v>
      </c>
      <c r="N809" s="16" t="s">
        <v>444</v>
      </c>
      <c r="O809" s="16" t="s">
        <v>445</v>
      </c>
    </row>
    <row r="810" ht="15.75" customHeight="1">
      <c r="A810" s="19">
        <v>45644.0</v>
      </c>
      <c r="B810" s="16" t="s">
        <v>9</v>
      </c>
      <c r="C810" s="16" t="str">
        <f t="shared" si="1"/>
        <v>Monterrey</v>
      </c>
      <c r="D810" s="16" t="str">
        <f t="shared" si="2"/>
        <v>Monterrey</v>
      </c>
      <c r="E810" s="16" t="str">
        <f t="shared" si="3"/>
        <v>Monterrey</v>
      </c>
      <c r="F810" s="16" t="s">
        <v>190</v>
      </c>
      <c r="G810" s="17" t="str">
        <f>IFERROR(__xludf.DUMMYFUNCTION("SPLIT(F810:F1809,""-"") "),"Laptop")</f>
        <v>Laptop</v>
      </c>
      <c r="H810" s="16" t="str">
        <f>IFERROR(__xludf.DUMMYFUNCTION("""COMPUTED_VALUE"""),"Ultraliviana")</f>
        <v>Ultraliviana</v>
      </c>
      <c r="I810" s="16" t="str">
        <f>IFERROR(__xludf.DUMMYFUNCTION("""COMPUTED_VALUE"""),"16GB")</f>
        <v>16GB</v>
      </c>
      <c r="J810" s="18">
        <v>2031.79</v>
      </c>
      <c r="K810" s="16">
        <v>5.0</v>
      </c>
      <c r="L810" s="18">
        <v>10158.95</v>
      </c>
      <c r="M810" s="16" t="s">
        <v>1963</v>
      </c>
      <c r="N810" s="16" t="s">
        <v>1964</v>
      </c>
      <c r="O810" s="16" t="s">
        <v>1965</v>
      </c>
    </row>
    <row r="811" ht="15.75" customHeight="1">
      <c r="A811" s="19">
        <v>45642.0</v>
      </c>
      <c r="B811" s="16" t="s">
        <v>35</v>
      </c>
      <c r="C811" s="16" t="str">
        <f t="shared" si="1"/>
        <v>Medellín</v>
      </c>
      <c r="D811" s="16" t="str">
        <f t="shared" si="2"/>
        <v>Medellín</v>
      </c>
      <c r="E811" s="16" t="str">
        <f t="shared" si="3"/>
        <v>Medellín</v>
      </c>
      <c r="F811" s="16" t="s">
        <v>282</v>
      </c>
      <c r="G811" s="17" t="str">
        <f>IFERROR(__xludf.DUMMYFUNCTION("SPLIT(F811:F1810,""-"") "),"Tablet")</f>
        <v>Tablet</v>
      </c>
      <c r="H811" s="16" t="str">
        <f>IFERROR(__xludf.DUMMYFUNCTION("""COMPUTED_VALUE"""),"Pro")</f>
        <v>Pro</v>
      </c>
      <c r="I811" s="16" t="str">
        <f>IFERROR(__xludf.DUMMYFUNCTION("""COMPUTED_VALUE"""),"16GB")</f>
        <v>16GB</v>
      </c>
      <c r="J811" s="18">
        <v>1119.17</v>
      </c>
      <c r="K811" s="16">
        <v>5.0</v>
      </c>
      <c r="L811" s="18">
        <v>5595.85</v>
      </c>
      <c r="M811" s="16" t="s">
        <v>1906</v>
      </c>
      <c r="N811" s="16" t="s">
        <v>1907</v>
      </c>
      <c r="O811" s="16" t="s">
        <v>1908</v>
      </c>
    </row>
    <row r="812" ht="15.75" customHeight="1">
      <c r="A812" s="19">
        <v>45644.0</v>
      </c>
      <c r="B812" s="16" t="s">
        <v>58</v>
      </c>
      <c r="C812" s="16" t="str">
        <f t="shared" si="1"/>
        <v>Guadalajara</v>
      </c>
      <c r="D812" s="16" t="str">
        <f t="shared" si="2"/>
        <v>Guadalajara</v>
      </c>
      <c r="E812" s="16" t="str">
        <f t="shared" si="3"/>
        <v>Guadalajara</v>
      </c>
      <c r="F812" s="16" t="s">
        <v>186</v>
      </c>
      <c r="G812" s="17" t="str">
        <f>IFERROR(__xludf.DUMMYFUNCTION("SPLIT(F812:F1811,""-"") "),"Auriculares")</f>
        <v>Auriculares</v>
      </c>
      <c r="H812" s="16" t="str">
        <f>IFERROR(__xludf.DUMMYFUNCTION("""COMPUTED_VALUE"""),"Cancelaci√≥n de ruido")</f>
        <v>Cancelaci√≥n de ruido</v>
      </c>
      <c r="I812" s="16" t="str">
        <f>IFERROR(__xludf.DUMMYFUNCTION("""COMPUTED_VALUE"""),"16GB")</f>
        <v>16GB</v>
      </c>
      <c r="J812" s="18">
        <v>1031.51</v>
      </c>
      <c r="K812" s="16">
        <v>1.0</v>
      </c>
      <c r="L812" s="18">
        <v>1031.51</v>
      </c>
      <c r="M812" s="16" t="s">
        <v>1966</v>
      </c>
      <c r="N812" s="16" t="s">
        <v>1967</v>
      </c>
      <c r="O812" s="16" t="s">
        <v>1968</v>
      </c>
    </row>
    <row r="813" ht="15.75" customHeight="1">
      <c r="A813" s="19">
        <v>45583.0</v>
      </c>
      <c r="B813" s="16" t="s">
        <v>75</v>
      </c>
      <c r="C813" s="16" t="str">
        <f t="shared" si="1"/>
        <v>Cali</v>
      </c>
      <c r="D813" s="16" t="str">
        <f t="shared" si="2"/>
        <v>Cali</v>
      </c>
      <c r="E813" s="16" t="str">
        <f t="shared" si="3"/>
        <v>Cali</v>
      </c>
      <c r="F813" s="16" t="s">
        <v>311</v>
      </c>
      <c r="G813" s="17" t="str">
        <f>IFERROR(__xludf.DUMMYFUNCTION("SPLIT(F813:F1812,""-"") "),"Laptop")</f>
        <v>Laptop</v>
      </c>
      <c r="H813" s="16" t="str">
        <f>IFERROR(__xludf.DUMMYFUNCTION("""COMPUTED_VALUE"""),"Ultraliviana")</f>
        <v>Ultraliviana</v>
      </c>
      <c r="I813" s="16" t="str">
        <f>IFERROR(__xludf.DUMMYFUNCTION("""COMPUTED_VALUE"""),"32GB")</f>
        <v>32GB</v>
      </c>
      <c r="J813" s="18">
        <v>700.55</v>
      </c>
      <c r="K813" s="16">
        <v>5.0</v>
      </c>
      <c r="L813" s="18">
        <v>3502.75</v>
      </c>
      <c r="M813" s="16" t="s">
        <v>418</v>
      </c>
      <c r="N813" s="16" t="s">
        <v>419</v>
      </c>
      <c r="O813" s="16" t="s">
        <v>420</v>
      </c>
    </row>
    <row r="814" ht="15.75" customHeight="1">
      <c r="A814" s="23">
        <v>45333.0</v>
      </c>
      <c r="B814" s="16" t="s">
        <v>9</v>
      </c>
      <c r="C814" s="16" t="str">
        <f t="shared" si="1"/>
        <v>Monterrey</v>
      </c>
      <c r="D814" s="16" t="str">
        <f t="shared" si="2"/>
        <v>Monterrey</v>
      </c>
      <c r="E814" s="16" t="str">
        <f t="shared" si="3"/>
        <v>Monterrey</v>
      </c>
      <c r="F814" s="16" t="s">
        <v>67</v>
      </c>
      <c r="G814" s="17" t="str">
        <f>IFERROR(__xludf.DUMMYFUNCTION("SPLIT(F814:F1813,""-"") "),"Tablet")</f>
        <v>Tablet</v>
      </c>
      <c r="H814" s="16" t="str">
        <f>IFERROR(__xludf.DUMMYFUNCTION("""COMPUTED_VALUE"""),"Estándar")</f>
        <v>Estándar</v>
      </c>
      <c r="I814" s="16" t="str">
        <f>IFERROR(__xludf.DUMMYFUNCTION("""COMPUTED_VALUE"""),"4GB")</f>
        <v>4GB</v>
      </c>
      <c r="J814" s="18">
        <v>2138.25</v>
      </c>
      <c r="K814" s="16">
        <v>2.0</v>
      </c>
      <c r="L814" s="18">
        <v>4276.5</v>
      </c>
      <c r="M814" s="16" t="s">
        <v>3005</v>
      </c>
      <c r="N814" s="16" t="s">
        <v>3006</v>
      </c>
      <c r="O814" s="16" t="s">
        <v>3007</v>
      </c>
    </row>
    <row r="815" ht="15.75" customHeight="1">
      <c r="A815" s="19">
        <v>45586.0</v>
      </c>
      <c r="B815" s="16" t="s">
        <v>58</v>
      </c>
      <c r="C815" s="16" t="str">
        <f t="shared" si="1"/>
        <v>Guadalajara</v>
      </c>
      <c r="D815" s="16" t="str">
        <f t="shared" si="2"/>
        <v>Guadalajara</v>
      </c>
      <c r="E815" s="16" t="str">
        <f t="shared" si="3"/>
        <v>Guadalajara</v>
      </c>
      <c r="F815" s="16" t="s">
        <v>153</v>
      </c>
      <c r="G815" s="17" t="str">
        <f>IFERROR(__xludf.DUMMYFUNCTION("SPLIT(F815:F1814,""-"") "),"Laptop")</f>
        <v>Laptop</v>
      </c>
      <c r="H815" s="16" t="str">
        <f>IFERROR(__xludf.DUMMYFUNCTION("""COMPUTED_VALUE"""),"Gaming")</f>
        <v>Gaming</v>
      </c>
      <c r="I815" s="16" t="str">
        <f>IFERROR(__xludf.DUMMYFUNCTION("""COMPUTED_VALUE"""),"8GB")</f>
        <v>8GB</v>
      </c>
      <c r="J815" s="18">
        <v>1604.02</v>
      </c>
      <c r="K815" s="16">
        <v>5.0</v>
      </c>
      <c r="L815" s="18">
        <v>8020.1</v>
      </c>
      <c r="M815" s="16" t="s">
        <v>501</v>
      </c>
      <c r="N815" s="16" t="s">
        <v>502</v>
      </c>
      <c r="O815" s="16" t="s">
        <v>503</v>
      </c>
    </row>
    <row r="816" ht="15.75" customHeight="1">
      <c r="A816" s="19">
        <v>45655.0</v>
      </c>
      <c r="B816" s="16" t="s">
        <v>35</v>
      </c>
      <c r="C816" s="16" t="str">
        <f t="shared" si="1"/>
        <v>Medellín</v>
      </c>
      <c r="D816" s="16" t="str">
        <f t="shared" si="2"/>
        <v>Medellín</v>
      </c>
      <c r="E816" s="16" t="str">
        <f t="shared" si="3"/>
        <v>Medellín</v>
      </c>
      <c r="F816" s="16" t="s">
        <v>369</v>
      </c>
      <c r="G816" s="17" t="str">
        <f>IFERROR(__xludf.DUMMYFUNCTION("SPLIT(F816:F1815,""-"") "),"Auriculares")</f>
        <v>Auriculares</v>
      </c>
      <c r="H816" s="16" t="str">
        <f>IFERROR(__xludf.DUMMYFUNCTION("""COMPUTED_VALUE"""),"Con cable")</f>
        <v>Con cable</v>
      </c>
      <c r="I816" s="16" t="str">
        <f>IFERROR(__xludf.DUMMYFUNCTION("""COMPUTED_VALUE"""),"4GB")</f>
        <v>4GB</v>
      </c>
      <c r="J816" s="18">
        <v>714.18</v>
      </c>
      <c r="K816" s="16">
        <v>4.0</v>
      </c>
      <c r="L816" s="18">
        <v>2856.72</v>
      </c>
      <c r="M816" s="16" t="s">
        <v>2303</v>
      </c>
      <c r="N816" s="16" t="s">
        <v>2304</v>
      </c>
      <c r="O816" s="16" t="s">
        <v>2305</v>
      </c>
    </row>
    <row r="817" ht="15.75" customHeight="1">
      <c r="A817" s="23">
        <v>45545.0</v>
      </c>
      <c r="B817" s="16" t="s">
        <v>75</v>
      </c>
      <c r="C817" s="16" t="str">
        <f t="shared" si="1"/>
        <v>Cali</v>
      </c>
      <c r="D817" s="16" t="str">
        <f t="shared" si="2"/>
        <v>Cali</v>
      </c>
      <c r="E817" s="16" t="str">
        <f t="shared" si="3"/>
        <v>Cali</v>
      </c>
      <c r="F817" s="16" t="s">
        <v>233</v>
      </c>
      <c r="G817" s="17" t="str">
        <f>IFERROR(__xludf.DUMMYFUNCTION("SPLIT(F817:F1816,""-"") "),"Tablet")</f>
        <v>Tablet</v>
      </c>
      <c r="H817" s="16" t="str">
        <f>IFERROR(__xludf.DUMMYFUNCTION("""COMPUTED_VALUE"""),"Mini")</f>
        <v>Mini</v>
      </c>
      <c r="I817" s="16" t="str">
        <f>IFERROR(__xludf.DUMMYFUNCTION("""COMPUTED_VALUE"""),"16GB")</f>
        <v>16GB</v>
      </c>
      <c r="J817" s="18">
        <v>2181.56</v>
      </c>
      <c r="K817" s="16">
        <v>5.0</v>
      </c>
      <c r="L817" s="18">
        <v>10907.8</v>
      </c>
      <c r="M817" s="16" t="s">
        <v>3008</v>
      </c>
      <c r="N817" s="16" t="s">
        <v>3009</v>
      </c>
      <c r="O817" s="16" t="s">
        <v>3010</v>
      </c>
    </row>
    <row r="818" ht="15.75" customHeight="1">
      <c r="A818" s="19">
        <v>45640.0</v>
      </c>
      <c r="B818" s="16" t="s">
        <v>2359</v>
      </c>
      <c r="C818" s="16" t="str">
        <f t="shared" si="1"/>
        <v>Ciudad De M√©Xico</v>
      </c>
      <c r="D818" s="16" t="str">
        <f t="shared" si="2"/>
        <v>Ciudad De M√©Xico</v>
      </c>
      <c r="E818" s="16" t="str">
        <f t="shared" si="3"/>
        <v>Ciudad De MéXico</v>
      </c>
      <c r="F818" s="16" t="s">
        <v>81</v>
      </c>
      <c r="G818" s="17" t="str">
        <f>IFERROR(__xludf.DUMMYFUNCTION("SPLIT(F818:F1817,""-"") "),"Laptop")</f>
        <v>Laptop</v>
      </c>
      <c r="H818" s="16" t="str">
        <f>IFERROR(__xludf.DUMMYFUNCTION("""COMPUTED_VALUE"""),"Oficina")</f>
        <v>Oficina</v>
      </c>
      <c r="I818" s="16" t="str">
        <f>IFERROR(__xludf.DUMMYFUNCTION("""COMPUTED_VALUE"""),"16GB")</f>
        <v>16GB</v>
      </c>
      <c r="J818" s="18">
        <v>2083.24</v>
      </c>
      <c r="K818" s="16">
        <v>1.0</v>
      </c>
      <c r="L818" s="18">
        <v>2083.24</v>
      </c>
      <c r="M818" s="16" t="s">
        <v>1836</v>
      </c>
      <c r="N818" s="16" t="s">
        <v>1837</v>
      </c>
      <c r="O818" s="16" t="s">
        <v>1838</v>
      </c>
    </row>
    <row r="819" ht="15.75" customHeight="1">
      <c r="A819" s="19">
        <v>45644.0</v>
      </c>
      <c r="B819" s="16" t="s">
        <v>75</v>
      </c>
      <c r="C819" s="16" t="str">
        <f t="shared" si="1"/>
        <v>Cali</v>
      </c>
      <c r="D819" s="16" t="str">
        <f t="shared" si="2"/>
        <v>Cali</v>
      </c>
      <c r="E819" s="16" t="str">
        <f t="shared" si="3"/>
        <v>Cali</v>
      </c>
      <c r="F819" s="16" t="s">
        <v>218</v>
      </c>
      <c r="G819" s="17" t="str">
        <f>IFERROR(__xludf.DUMMYFUNCTION("SPLIT(F819:F1818,""-"") "),"Teléfono")</f>
        <v>Teléfono</v>
      </c>
      <c r="H819" s="16" t="str">
        <f>IFERROR(__xludf.DUMMYFUNCTION("""COMPUTED_VALUE"""),"Gama media")</f>
        <v>Gama media</v>
      </c>
      <c r="I819" s="16" t="str">
        <f>IFERROR(__xludf.DUMMYFUNCTION("""COMPUTED_VALUE"""),"4GB")</f>
        <v>4GB</v>
      </c>
      <c r="J819" s="18">
        <v>879.04</v>
      </c>
      <c r="K819" s="16">
        <v>2.0</v>
      </c>
      <c r="L819" s="18">
        <v>1758.08</v>
      </c>
      <c r="M819" s="16" t="s">
        <v>1969</v>
      </c>
      <c r="N819" s="16" t="s">
        <v>1970</v>
      </c>
      <c r="O819" s="16" t="s">
        <v>1971</v>
      </c>
    </row>
    <row r="820" ht="15.75" customHeight="1">
      <c r="A820" s="23">
        <v>45394.0</v>
      </c>
      <c r="B820" s="16" t="s">
        <v>35</v>
      </c>
      <c r="C820" s="16" t="str">
        <f t="shared" si="1"/>
        <v>Medellín</v>
      </c>
      <c r="D820" s="16" t="str">
        <f t="shared" si="2"/>
        <v>Medellín</v>
      </c>
      <c r="E820" s="16" t="str">
        <f t="shared" si="3"/>
        <v>Medellín</v>
      </c>
      <c r="F820" s="16" t="s">
        <v>171</v>
      </c>
      <c r="G820" s="17" t="str">
        <f>IFERROR(__xludf.DUMMYFUNCTION("SPLIT(F820:F1819,""-"") "),"Teléfono")</f>
        <v>Teléfono</v>
      </c>
      <c r="H820" s="16" t="str">
        <f>IFERROR(__xludf.DUMMYFUNCTION("""COMPUTED_VALUE"""),"Gama baja")</f>
        <v>Gama baja</v>
      </c>
      <c r="I820" s="16" t="str">
        <f>IFERROR(__xludf.DUMMYFUNCTION("""COMPUTED_VALUE"""),"4GB")</f>
        <v>4GB</v>
      </c>
      <c r="J820" s="18">
        <v>1606.74</v>
      </c>
      <c r="K820" s="16">
        <v>4.0</v>
      </c>
      <c r="L820" s="18">
        <v>6426.96</v>
      </c>
      <c r="M820" s="16" t="s">
        <v>3011</v>
      </c>
      <c r="N820" s="16" t="s">
        <v>3012</v>
      </c>
      <c r="O820" s="16" t="s">
        <v>3013</v>
      </c>
    </row>
    <row r="821" ht="15.75" customHeight="1">
      <c r="A821" s="23">
        <v>45607.0</v>
      </c>
      <c r="B821" s="16" t="s">
        <v>9</v>
      </c>
      <c r="C821" s="16" t="str">
        <f t="shared" si="1"/>
        <v>Monterrey</v>
      </c>
      <c r="D821" s="16" t="str">
        <f t="shared" si="2"/>
        <v>Monterrey</v>
      </c>
      <c r="E821" s="16" t="str">
        <f t="shared" si="3"/>
        <v>Monterrey</v>
      </c>
      <c r="F821" s="16" t="s">
        <v>182</v>
      </c>
      <c r="G821" s="17" t="str">
        <f>IFERROR(__xludf.DUMMYFUNCTION("SPLIT(F821:F1820,""-"") "),"Tablet")</f>
        <v>Tablet</v>
      </c>
      <c r="H821" s="16" t="str">
        <f>IFERROR(__xludf.DUMMYFUNCTION("""COMPUTED_VALUE"""),"Mini")</f>
        <v>Mini</v>
      </c>
      <c r="I821" s="16" t="str">
        <f>IFERROR(__xludf.DUMMYFUNCTION("""COMPUTED_VALUE"""),"4GB")</f>
        <v>4GB</v>
      </c>
      <c r="J821" s="18">
        <v>2442.23</v>
      </c>
      <c r="K821" s="16">
        <v>4.0</v>
      </c>
      <c r="L821" s="18">
        <v>9768.92</v>
      </c>
      <c r="M821" s="16" t="s">
        <v>993</v>
      </c>
      <c r="N821" s="16" t="s">
        <v>994</v>
      </c>
      <c r="O821" s="16" t="s">
        <v>995</v>
      </c>
    </row>
    <row r="822" ht="15.75" customHeight="1">
      <c r="A822" s="23">
        <v>45484.0</v>
      </c>
      <c r="B822" s="16" t="s">
        <v>58</v>
      </c>
      <c r="C822" s="16" t="str">
        <f t="shared" si="1"/>
        <v>Guadalajara</v>
      </c>
      <c r="D822" s="16" t="str">
        <f t="shared" si="2"/>
        <v>Guadalajara</v>
      </c>
      <c r="E822" s="16" t="str">
        <f t="shared" si="3"/>
        <v>Guadalajara</v>
      </c>
      <c r="F822" s="16" t="s">
        <v>117</v>
      </c>
      <c r="G822" s="17" t="str">
        <f>IFERROR(__xludf.DUMMYFUNCTION("SPLIT(F822:F1821,""-"") "),"Teléfono")</f>
        <v>Teléfono</v>
      </c>
      <c r="H822" s="16" t="str">
        <f>IFERROR(__xludf.DUMMYFUNCTION("""COMPUTED_VALUE"""),"Gama baja")</f>
        <v>Gama baja</v>
      </c>
      <c r="I822" s="16" t="str">
        <f>IFERROR(__xludf.DUMMYFUNCTION("""COMPUTED_VALUE"""),"16GB")</f>
        <v>16GB</v>
      </c>
      <c r="J822" s="18">
        <v>462.11</v>
      </c>
      <c r="K822" s="16">
        <v>4.0</v>
      </c>
      <c r="L822" s="18">
        <v>1848.44</v>
      </c>
      <c r="M822" s="16" t="s">
        <v>3014</v>
      </c>
      <c r="N822" s="16" t="s">
        <v>3015</v>
      </c>
      <c r="O822" s="16" t="s">
        <v>3016</v>
      </c>
    </row>
    <row r="823" ht="15.75" customHeight="1">
      <c r="A823" s="23">
        <v>45516.0</v>
      </c>
      <c r="B823" s="16" t="s">
        <v>2359</v>
      </c>
      <c r="C823" s="16" t="str">
        <f t="shared" si="1"/>
        <v>Ciudad De M√©Xico</v>
      </c>
      <c r="D823" s="16" t="str">
        <f t="shared" si="2"/>
        <v>Ciudad De M√©Xico</v>
      </c>
      <c r="E823" s="16" t="str">
        <f t="shared" si="3"/>
        <v>Ciudad De MéXico</v>
      </c>
      <c r="F823" s="16" t="s">
        <v>255</v>
      </c>
      <c r="G823" s="17" t="str">
        <f>IFERROR(__xludf.DUMMYFUNCTION("SPLIT(F823:F1822,""-"") "),"Auriculares")</f>
        <v>Auriculares</v>
      </c>
      <c r="H823" s="16" t="str">
        <f>IFERROR(__xludf.DUMMYFUNCTION("""COMPUTED_VALUE"""),"Bluetooth")</f>
        <v>Bluetooth</v>
      </c>
      <c r="I823" s="16" t="str">
        <f>IFERROR(__xludf.DUMMYFUNCTION("""COMPUTED_VALUE"""),"8GB")</f>
        <v>8GB</v>
      </c>
      <c r="J823" s="18">
        <v>867.71</v>
      </c>
      <c r="K823" s="16">
        <v>3.0</v>
      </c>
      <c r="L823" s="18">
        <v>2603.13</v>
      </c>
      <c r="M823" s="16" t="s">
        <v>3017</v>
      </c>
      <c r="N823" s="16" t="s">
        <v>3018</v>
      </c>
      <c r="O823" s="16" t="s">
        <v>3019</v>
      </c>
    </row>
    <row r="824" ht="15.75" customHeight="1">
      <c r="A824" s="19">
        <v>45654.0</v>
      </c>
      <c r="B824" s="16" t="s">
        <v>14</v>
      </c>
      <c r="C824" s="16" t="str">
        <f t="shared" si="1"/>
        <v>Bogotá</v>
      </c>
      <c r="D824" s="16" t="str">
        <f t="shared" si="2"/>
        <v>Bogotá</v>
      </c>
      <c r="E824" s="16" t="str">
        <f t="shared" si="3"/>
        <v>Bogotá</v>
      </c>
      <c r="F824" s="16" t="s">
        <v>315</v>
      </c>
      <c r="G824" s="17" t="str">
        <f>IFERROR(__xludf.DUMMYFUNCTION("SPLIT(F824:F1823,""-"") "),"Teléfono")</f>
        <v>Teléfono</v>
      </c>
      <c r="H824" s="16" t="str">
        <f>IFERROR(__xludf.DUMMYFUNCTION("""COMPUTED_VALUE"""),"Gama baja")</f>
        <v>Gama baja</v>
      </c>
      <c r="I824" s="16" t="str">
        <f>IFERROR(__xludf.DUMMYFUNCTION("""COMPUTED_VALUE"""),"8GB")</f>
        <v>8GB</v>
      </c>
      <c r="J824" s="18">
        <v>1793.94</v>
      </c>
      <c r="K824" s="16">
        <v>3.0</v>
      </c>
      <c r="L824" s="18">
        <v>5381.82</v>
      </c>
      <c r="M824" s="16" t="s">
        <v>2258</v>
      </c>
      <c r="N824" s="16" t="s">
        <v>2259</v>
      </c>
      <c r="O824" s="16" t="s">
        <v>2260</v>
      </c>
    </row>
    <row r="825" ht="15.75" customHeight="1">
      <c r="A825" s="19">
        <v>45621.0</v>
      </c>
      <c r="B825" s="16" t="s">
        <v>75</v>
      </c>
      <c r="C825" s="16" t="str">
        <f t="shared" si="1"/>
        <v>Cali</v>
      </c>
      <c r="D825" s="16" t="str">
        <f t="shared" si="2"/>
        <v>Cali</v>
      </c>
      <c r="E825" s="16" t="str">
        <f t="shared" si="3"/>
        <v>Cali</v>
      </c>
      <c r="F825" s="16" t="s">
        <v>76</v>
      </c>
      <c r="G825" s="17" t="str">
        <f>IFERROR(__xludf.DUMMYFUNCTION("SPLIT(F825:F1824,""-"") "),"Tablet")</f>
        <v>Tablet</v>
      </c>
      <c r="H825" s="16" t="str">
        <f>IFERROR(__xludf.DUMMYFUNCTION("""COMPUTED_VALUE"""),"Mini")</f>
        <v>Mini</v>
      </c>
      <c r="I825" s="16" t="str">
        <f>IFERROR(__xludf.DUMMYFUNCTION("""COMPUTED_VALUE"""),"32GB")</f>
        <v>32GB</v>
      </c>
      <c r="J825" s="18">
        <v>2068.34</v>
      </c>
      <c r="K825" s="16">
        <v>2.0</v>
      </c>
      <c r="L825" s="18">
        <v>4136.68</v>
      </c>
      <c r="M825" s="16" t="s">
        <v>1496</v>
      </c>
      <c r="N825" s="16" t="s">
        <v>1497</v>
      </c>
      <c r="O825" s="16" t="s">
        <v>1498</v>
      </c>
    </row>
    <row r="826" ht="15.75" customHeight="1">
      <c r="A826" s="19">
        <v>45649.0</v>
      </c>
      <c r="B826" s="16" t="s">
        <v>35</v>
      </c>
      <c r="C826" s="16" t="str">
        <f t="shared" si="1"/>
        <v>Medellín</v>
      </c>
      <c r="D826" s="16" t="str">
        <f t="shared" si="2"/>
        <v>Medellín</v>
      </c>
      <c r="E826" s="16" t="str">
        <f t="shared" si="3"/>
        <v>Medellín</v>
      </c>
      <c r="F826" s="16" t="s">
        <v>153</v>
      </c>
      <c r="G826" s="17" t="str">
        <f>IFERROR(__xludf.DUMMYFUNCTION("SPLIT(F826:F1825,""-"") "),"Laptop")</f>
        <v>Laptop</v>
      </c>
      <c r="H826" s="16" t="str">
        <f>IFERROR(__xludf.DUMMYFUNCTION("""COMPUTED_VALUE"""),"Gaming")</f>
        <v>Gaming</v>
      </c>
      <c r="I826" s="16" t="str">
        <f>IFERROR(__xludf.DUMMYFUNCTION("""COMPUTED_VALUE"""),"8GB")</f>
        <v>8GB</v>
      </c>
      <c r="J826" s="18">
        <v>2469.75</v>
      </c>
      <c r="K826" s="16">
        <v>5.0</v>
      </c>
      <c r="L826" s="18">
        <v>12348.75</v>
      </c>
      <c r="M826" s="16" t="s">
        <v>2120</v>
      </c>
      <c r="N826" s="16" t="s">
        <v>2121</v>
      </c>
      <c r="O826" s="16" t="s">
        <v>2122</v>
      </c>
    </row>
    <row r="827" ht="15.75" customHeight="1">
      <c r="A827" s="19">
        <v>45581.0</v>
      </c>
      <c r="B827" s="16" t="s">
        <v>2359</v>
      </c>
      <c r="C827" s="16" t="str">
        <f t="shared" si="1"/>
        <v>Ciudad De M√©Xico</v>
      </c>
      <c r="D827" s="16" t="str">
        <f t="shared" si="2"/>
        <v>Ciudad De M√©Xico</v>
      </c>
      <c r="E827" s="16" t="str">
        <f t="shared" si="3"/>
        <v>Ciudad De MéXico</v>
      </c>
      <c r="F827" s="16" t="s">
        <v>272</v>
      </c>
      <c r="G827" s="17" t="str">
        <f>IFERROR(__xludf.DUMMYFUNCTION("SPLIT(F827:F1826,""-"") "),"Teléfono")</f>
        <v>Teléfono</v>
      </c>
      <c r="H827" s="16" t="str">
        <f>IFERROR(__xludf.DUMMYFUNCTION("""COMPUTED_VALUE"""),"Gama baja")</f>
        <v>Gama baja</v>
      </c>
      <c r="I827" s="16" t="str">
        <f>IFERROR(__xludf.DUMMYFUNCTION("""COMPUTED_VALUE"""),"32GB")</f>
        <v>32GB</v>
      </c>
      <c r="J827" s="18">
        <v>1268.91</v>
      </c>
      <c r="K827" s="16">
        <v>2.0</v>
      </c>
      <c r="L827" s="18">
        <v>2537.82</v>
      </c>
      <c r="M827" s="16" t="s">
        <v>341</v>
      </c>
      <c r="N827" s="16" t="s">
        <v>342</v>
      </c>
      <c r="O827" s="16" t="s">
        <v>343</v>
      </c>
    </row>
    <row r="828" ht="15.75" customHeight="1">
      <c r="A828" s="19">
        <v>45640.0</v>
      </c>
      <c r="B828" s="16" t="s">
        <v>2359</v>
      </c>
      <c r="C828" s="16" t="str">
        <f t="shared" si="1"/>
        <v>Ciudad De M√©Xico</v>
      </c>
      <c r="D828" s="16" t="str">
        <f t="shared" si="2"/>
        <v>Ciudad De M√©Xico</v>
      </c>
      <c r="E828" s="16" t="str">
        <f t="shared" si="3"/>
        <v>Ciudad De MéXico</v>
      </c>
      <c r="F828" s="16" t="s">
        <v>50</v>
      </c>
      <c r="G828" s="17" t="str">
        <f>IFERROR(__xludf.DUMMYFUNCTION("SPLIT(F828:F1827,""-"") "),"Tablet")</f>
        <v>Tablet</v>
      </c>
      <c r="H828" s="16" t="str">
        <f>IFERROR(__xludf.DUMMYFUNCTION("""COMPUTED_VALUE"""),"Estándar")</f>
        <v>Estándar</v>
      </c>
      <c r="I828" s="16" t="str">
        <f>IFERROR(__xludf.DUMMYFUNCTION("""COMPUTED_VALUE"""),"32GB")</f>
        <v>32GB</v>
      </c>
      <c r="J828" s="18">
        <v>818.61</v>
      </c>
      <c r="K828" s="16">
        <v>3.0</v>
      </c>
      <c r="L828" s="18">
        <v>2455.83</v>
      </c>
      <c r="M828" s="16" t="s">
        <v>1839</v>
      </c>
      <c r="N828" s="16" t="s">
        <v>1840</v>
      </c>
      <c r="O828" s="16" t="s">
        <v>1841</v>
      </c>
    </row>
    <row r="829" ht="15.75" customHeight="1">
      <c r="A829" s="23">
        <v>45515.0</v>
      </c>
      <c r="B829" s="16" t="s">
        <v>9</v>
      </c>
      <c r="C829" s="16" t="str">
        <f t="shared" si="1"/>
        <v>Monterrey</v>
      </c>
      <c r="D829" s="16" t="str">
        <f t="shared" si="2"/>
        <v>Monterrey</v>
      </c>
      <c r="E829" s="16" t="str">
        <f t="shared" si="3"/>
        <v>Monterrey</v>
      </c>
      <c r="F829" s="16" t="s">
        <v>272</v>
      </c>
      <c r="G829" s="17" t="str">
        <f>IFERROR(__xludf.DUMMYFUNCTION("SPLIT(F829:F1828,""-"") "),"Teléfono")</f>
        <v>Teléfono</v>
      </c>
      <c r="H829" s="16" t="str">
        <f>IFERROR(__xludf.DUMMYFUNCTION("""COMPUTED_VALUE"""),"Gama baja")</f>
        <v>Gama baja</v>
      </c>
      <c r="I829" s="16" t="str">
        <f>IFERROR(__xludf.DUMMYFUNCTION("""COMPUTED_VALUE"""),"32GB")</f>
        <v>32GB</v>
      </c>
      <c r="J829" s="18">
        <v>500.92</v>
      </c>
      <c r="K829" s="16">
        <v>5.0</v>
      </c>
      <c r="L829" s="18">
        <v>2504.6</v>
      </c>
      <c r="M829" s="16" t="s">
        <v>3020</v>
      </c>
      <c r="N829" s="16" t="s">
        <v>3021</v>
      </c>
      <c r="O829" s="16" t="s">
        <v>3022</v>
      </c>
    </row>
    <row r="830" ht="15.75" customHeight="1">
      <c r="A830" s="23">
        <v>45363.0</v>
      </c>
      <c r="B830" s="16" t="s">
        <v>75</v>
      </c>
      <c r="C830" s="16" t="str">
        <f t="shared" si="1"/>
        <v>Cali</v>
      </c>
      <c r="D830" s="16" t="str">
        <f t="shared" si="2"/>
        <v>Cali</v>
      </c>
      <c r="E830" s="16" t="str">
        <f t="shared" si="3"/>
        <v>Cali</v>
      </c>
      <c r="F830" s="16" t="s">
        <v>171</v>
      </c>
      <c r="G830" s="17" t="str">
        <f>IFERROR(__xludf.DUMMYFUNCTION("SPLIT(F830:F1829,""-"") "),"Teléfono")</f>
        <v>Teléfono</v>
      </c>
      <c r="H830" s="16" t="str">
        <f>IFERROR(__xludf.DUMMYFUNCTION("""COMPUTED_VALUE"""),"Gama baja")</f>
        <v>Gama baja</v>
      </c>
      <c r="I830" s="16" t="str">
        <f>IFERROR(__xludf.DUMMYFUNCTION("""COMPUTED_VALUE"""),"4GB")</f>
        <v>4GB</v>
      </c>
      <c r="J830" s="18">
        <v>2247.57</v>
      </c>
      <c r="K830" s="16">
        <v>4.0</v>
      </c>
      <c r="L830" s="18">
        <v>8990.28</v>
      </c>
      <c r="M830" s="16" t="s">
        <v>3023</v>
      </c>
      <c r="N830" s="16" t="s">
        <v>3024</v>
      </c>
      <c r="O830" s="16" t="s">
        <v>3025</v>
      </c>
    </row>
    <row r="831" ht="15.75" customHeight="1">
      <c r="A831" s="19">
        <v>45616.0</v>
      </c>
      <c r="B831" s="16" t="s">
        <v>58</v>
      </c>
      <c r="C831" s="16" t="str">
        <f t="shared" si="1"/>
        <v>Guadalajara</v>
      </c>
      <c r="D831" s="16" t="str">
        <f t="shared" si="2"/>
        <v>Guadalajara</v>
      </c>
      <c r="E831" s="16" t="str">
        <f t="shared" si="3"/>
        <v>Guadalajara</v>
      </c>
      <c r="F831" s="16" t="s">
        <v>190</v>
      </c>
      <c r="G831" s="17" t="str">
        <f>IFERROR(__xludf.DUMMYFUNCTION("SPLIT(F831:F1830,""-"") "),"Laptop")</f>
        <v>Laptop</v>
      </c>
      <c r="H831" s="16" t="str">
        <f>IFERROR(__xludf.DUMMYFUNCTION("""COMPUTED_VALUE"""),"Ultraliviana")</f>
        <v>Ultraliviana</v>
      </c>
      <c r="I831" s="16" t="str">
        <f>IFERROR(__xludf.DUMMYFUNCTION("""COMPUTED_VALUE"""),"16GB")</f>
        <v>16GB</v>
      </c>
      <c r="J831" s="18">
        <v>2189.91</v>
      </c>
      <c r="K831" s="16">
        <v>3.0</v>
      </c>
      <c r="L831" s="18">
        <v>6569.73</v>
      </c>
      <c r="M831" s="16" t="s">
        <v>1320</v>
      </c>
      <c r="N831" s="16" t="s">
        <v>1321</v>
      </c>
      <c r="O831" s="16" t="s">
        <v>1322</v>
      </c>
    </row>
    <row r="832" ht="15.75" customHeight="1">
      <c r="A832" s="19">
        <v>45654.0</v>
      </c>
      <c r="B832" s="16" t="s">
        <v>58</v>
      </c>
      <c r="C832" s="16" t="str">
        <f t="shared" si="1"/>
        <v>Guadalajara</v>
      </c>
      <c r="D832" s="16" t="str">
        <f t="shared" si="2"/>
        <v>Guadalajara</v>
      </c>
      <c r="E832" s="16" t="str">
        <f t="shared" si="3"/>
        <v>Guadalajara</v>
      </c>
      <c r="F832" s="16" t="s">
        <v>94</v>
      </c>
      <c r="G832" s="17" t="str">
        <f>IFERROR(__xludf.DUMMYFUNCTION("SPLIT(F832:F1831,""-"") "),"Tablet")</f>
        <v>Tablet</v>
      </c>
      <c r="H832" s="16" t="str">
        <f>IFERROR(__xludf.DUMMYFUNCTION("""COMPUTED_VALUE"""),"Mini")</f>
        <v>Mini</v>
      </c>
      <c r="I832" s="16" t="str">
        <f>IFERROR(__xludf.DUMMYFUNCTION("""COMPUTED_VALUE"""),"8GB")</f>
        <v>8GB</v>
      </c>
      <c r="J832" s="18">
        <v>2144.75</v>
      </c>
      <c r="K832" s="16">
        <v>1.0</v>
      </c>
      <c r="L832" s="18">
        <v>2144.75</v>
      </c>
      <c r="M832" s="16" t="s">
        <v>2261</v>
      </c>
      <c r="N832" s="16" t="s">
        <v>2262</v>
      </c>
      <c r="O832" s="16" t="s">
        <v>2263</v>
      </c>
    </row>
    <row r="833" ht="15.75" customHeight="1">
      <c r="A833" s="19">
        <v>45654.0</v>
      </c>
      <c r="B833" s="16" t="s">
        <v>14</v>
      </c>
      <c r="C833" s="16" t="str">
        <f t="shared" si="1"/>
        <v>Bogotá</v>
      </c>
      <c r="D833" s="16" t="str">
        <f t="shared" si="2"/>
        <v>Bogotá</v>
      </c>
      <c r="E833" s="16" t="str">
        <f t="shared" si="3"/>
        <v>Bogotá</v>
      </c>
      <c r="F833" s="16" t="s">
        <v>292</v>
      </c>
      <c r="G833" s="17" t="str">
        <f>IFERROR(__xludf.DUMMYFUNCTION("SPLIT(F833:F1832,""-"") "),"Teléfono")</f>
        <v>Teléfono</v>
      </c>
      <c r="H833" s="16" t="str">
        <f>IFERROR(__xludf.DUMMYFUNCTION("""COMPUTED_VALUE"""),"Gama alta")</f>
        <v>Gama alta</v>
      </c>
      <c r="I833" s="16" t="str">
        <f>IFERROR(__xludf.DUMMYFUNCTION("""COMPUTED_VALUE"""),"16GB")</f>
        <v>16GB</v>
      </c>
      <c r="J833" s="18">
        <v>1642.37</v>
      </c>
      <c r="K833" s="16">
        <v>3.0</v>
      </c>
      <c r="L833" s="18">
        <v>4927.11</v>
      </c>
      <c r="M833" s="16" t="s">
        <v>2264</v>
      </c>
      <c r="N833" s="16" t="s">
        <v>2265</v>
      </c>
      <c r="O833" s="16" t="s">
        <v>2266</v>
      </c>
    </row>
    <row r="834" ht="15.75" customHeight="1">
      <c r="A834" s="23">
        <v>45454.0</v>
      </c>
      <c r="B834" s="16" t="s">
        <v>75</v>
      </c>
      <c r="C834" s="16" t="str">
        <f t="shared" si="1"/>
        <v>Cali</v>
      </c>
      <c r="D834" s="16" t="str">
        <f t="shared" si="2"/>
        <v>Cali</v>
      </c>
      <c r="E834" s="16" t="str">
        <f t="shared" si="3"/>
        <v>Cali</v>
      </c>
      <c r="F834" s="16" t="s">
        <v>23</v>
      </c>
      <c r="G834" s="17" t="str">
        <f>IFERROR(__xludf.DUMMYFUNCTION("SPLIT(F834:F1833,""-"") "),"Tablet")</f>
        <v>Tablet</v>
      </c>
      <c r="H834" s="16" t="str">
        <f>IFERROR(__xludf.DUMMYFUNCTION("""COMPUTED_VALUE"""),"Estándar")</f>
        <v>Estándar</v>
      </c>
      <c r="I834" s="16" t="str">
        <f>IFERROR(__xludf.DUMMYFUNCTION("""COMPUTED_VALUE"""),"16GB")</f>
        <v>16GB</v>
      </c>
      <c r="J834" s="18">
        <v>2005.24</v>
      </c>
      <c r="K834" s="16">
        <v>1.0</v>
      </c>
      <c r="L834" s="18">
        <v>2005.24</v>
      </c>
      <c r="M834" s="16" t="s">
        <v>3026</v>
      </c>
      <c r="N834" s="16" t="s">
        <v>3027</v>
      </c>
      <c r="O834" s="16" t="s">
        <v>3028</v>
      </c>
    </row>
    <row r="835" ht="15.75" customHeight="1">
      <c r="A835" s="19">
        <v>45617.0</v>
      </c>
      <c r="B835" s="16" t="s">
        <v>9</v>
      </c>
      <c r="C835" s="16" t="str">
        <f t="shared" si="1"/>
        <v>Monterrey</v>
      </c>
      <c r="D835" s="16" t="str">
        <f t="shared" si="2"/>
        <v>Monterrey</v>
      </c>
      <c r="E835" s="16" t="str">
        <f t="shared" si="3"/>
        <v>Monterrey</v>
      </c>
      <c r="F835" s="16" t="s">
        <v>54</v>
      </c>
      <c r="G835" s="17" t="str">
        <f>IFERROR(__xludf.DUMMYFUNCTION("SPLIT(F835:F1834,""-"") "),"Laptop")</f>
        <v>Laptop</v>
      </c>
      <c r="H835" s="16" t="str">
        <f>IFERROR(__xludf.DUMMYFUNCTION("""COMPUTED_VALUE"""),"Oficina")</f>
        <v>Oficina</v>
      </c>
      <c r="I835" s="16" t="str">
        <f>IFERROR(__xludf.DUMMYFUNCTION("""COMPUTED_VALUE"""),"8GB")</f>
        <v>8GB</v>
      </c>
      <c r="J835" s="18">
        <v>1944.02</v>
      </c>
      <c r="K835" s="16">
        <v>1.0</v>
      </c>
      <c r="L835" s="18">
        <v>1944.02</v>
      </c>
      <c r="M835" s="16" t="s">
        <v>1362</v>
      </c>
      <c r="N835" s="16" t="s">
        <v>1363</v>
      </c>
      <c r="O835" s="16" t="s">
        <v>1364</v>
      </c>
    </row>
    <row r="836" ht="15.75" customHeight="1">
      <c r="A836" s="24">
        <v>45615.0</v>
      </c>
      <c r="B836" s="16" t="s">
        <v>75</v>
      </c>
      <c r="C836" s="16" t="str">
        <f t="shared" si="1"/>
        <v>Cali</v>
      </c>
      <c r="D836" s="16" t="str">
        <f t="shared" si="2"/>
        <v>Cali</v>
      </c>
      <c r="E836" s="16" t="str">
        <f t="shared" si="3"/>
        <v>Cali</v>
      </c>
      <c r="F836" s="16" t="s">
        <v>666</v>
      </c>
      <c r="G836" s="17" t="str">
        <f>IFERROR(__xludf.DUMMYFUNCTION("SPLIT(F836:F1835,""-"") "),"Auriculares")</f>
        <v>Auriculares</v>
      </c>
      <c r="H836" s="16" t="str">
        <f>IFERROR(__xludf.DUMMYFUNCTION("""COMPUTED_VALUE"""),"Cancelación de ruido")</f>
        <v>Cancelación de ruido</v>
      </c>
      <c r="I836" s="16" t="str">
        <f>IFERROR(__xludf.DUMMYFUNCTION("""COMPUTED_VALUE"""),"32GB")</f>
        <v>32GB</v>
      </c>
      <c r="J836" s="18">
        <v>215.41</v>
      </c>
      <c r="K836" s="16">
        <v>1.0</v>
      </c>
      <c r="L836" s="18">
        <v>215.41</v>
      </c>
      <c r="M836" s="16" t="s">
        <v>1290</v>
      </c>
      <c r="N836" s="16" t="s">
        <v>1291</v>
      </c>
      <c r="O836" s="16" t="s">
        <v>1292</v>
      </c>
    </row>
    <row r="837" ht="15.75" customHeight="1">
      <c r="A837" s="23">
        <v>45423.0</v>
      </c>
      <c r="B837" s="16" t="s">
        <v>2359</v>
      </c>
      <c r="C837" s="16" t="str">
        <f t="shared" si="1"/>
        <v>Ciudad De M√©Xico</v>
      </c>
      <c r="D837" s="16" t="str">
        <f t="shared" si="2"/>
        <v>Ciudad De M√©Xico</v>
      </c>
      <c r="E837" s="16" t="str">
        <f t="shared" si="3"/>
        <v>Ciudad De MéXico</v>
      </c>
      <c r="F837" s="16" t="s">
        <v>81</v>
      </c>
      <c r="G837" s="17" t="str">
        <f>IFERROR(__xludf.DUMMYFUNCTION("SPLIT(F837:F1836,""-"") "),"Laptop")</f>
        <v>Laptop</v>
      </c>
      <c r="H837" s="16" t="str">
        <f>IFERROR(__xludf.DUMMYFUNCTION("""COMPUTED_VALUE"""),"Oficina")</f>
        <v>Oficina</v>
      </c>
      <c r="I837" s="16" t="str">
        <f>IFERROR(__xludf.DUMMYFUNCTION("""COMPUTED_VALUE"""),"16GB")</f>
        <v>16GB</v>
      </c>
      <c r="J837" s="18">
        <v>2331.11</v>
      </c>
      <c r="K837" s="16">
        <v>4.0</v>
      </c>
      <c r="L837" s="18">
        <v>9324.44</v>
      </c>
      <c r="M837" s="16" t="s">
        <v>3029</v>
      </c>
      <c r="N837" s="16" t="s">
        <v>3030</v>
      </c>
      <c r="O837" s="21" t="s">
        <v>3031</v>
      </c>
    </row>
    <row r="838" ht="15.75" customHeight="1">
      <c r="A838" s="19">
        <v>45580.0</v>
      </c>
      <c r="B838" s="16" t="s">
        <v>75</v>
      </c>
      <c r="C838" s="16" t="str">
        <f t="shared" si="1"/>
        <v>Cali</v>
      </c>
      <c r="D838" s="16" t="str">
        <f t="shared" si="2"/>
        <v>Cali</v>
      </c>
      <c r="E838" s="16" t="str">
        <f t="shared" si="3"/>
        <v>Cali</v>
      </c>
      <c r="F838" s="16" t="s">
        <v>23</v>
      </c>
      <c r="G838" s="17" t="str">
        <f>IFERROR(__xludf.DUMMYFUNCTION("SPLIT(F838:F1837,""-"") "),"Tablet")</f>
        <v>Tablet</v>
      </c>
      <c r="H838" s="16" t="str">
        <f>IFERROR(__xludf.DUMMYFUNCTION("""COMPUTED_VALUE"""),"Estándar")</f>
        <v>Estándar</v>
      </c>
      <c r="I838" s="16" t="str">
        <f>IFERROR(__xludf.DUMMYFUNCTION("""COMPUTED_VALUE"""),"16GB")</f>
        <v>16GB</v>
      </c>
      <c r="J838" s="18">
        <v>1966.38</v>
      </c>
      <c r="K838" s="16">
        <v>5.0</v>
      </c>
      <c r="L838" s="18">
        <v>9831.9</v>
      </c>
      <c r="M838" s="16" t="s">
        <v>299</v>
      </c>
      <c r="N838" s="16" t="s">
        <v>300</v>
      </c>
      <c r="O838" s="16" t="s">
        <v>301</v>
      </c>
    </row>
    <row r="839" ht="15.75" customHeight="1">
      <c r="A839" s="19">
        <v>45624.0</v>
      </c>
      <c r="B839" s="16" t="s">
        <v>58</v>
      </c>
      <c r="C839" s="16" t="str">
        <f t="shared" si="1"/>
        <v>Guadalajara</v>
      </c>
      <c r="D839" s="16" t="str">
        <f t="shared" si="2"/>
        <v>Guadalajara</v>
      </c>
      <c r="E839" s="16" t="str">
        <f t="shared" si="3"/>
        <v>Guadalajara</v>
      </c>
      <c r="F839" s="16" t="s">
        <v>59</v>
      </c>
      <c r="G839" s="17" t="str">
        <f>IFERROR(__xludf.DUMMYFUNCTION("SPLIT(F839:F1838,""-"") "),"Auriculares")</f>
        <v>Auriculares</v>
      </c>
      <c r="H839" s="16" t="str">
        <f>IFERROR(__xludf.DUMMYFUNCTION("""COMPUTED_VALUE"""),"Bluetooth")</f>
        <v>Bluetooth</v>
      </c>
      <c r="I839" s="16" t="str">
        <f>IFERROR(__xludf.DUMMYFUNCTION("""COMPUTED_VALUE"""),"4GB")</f>
        <v>4GB</v>
      </c>
      <c r="J839" s="18">
        <v>1496.64</v>
      </c>
      <c r="K839" s="16">
        <v>2.0</v>
      </c>
      <c r="L839" s="18">
        <v>2993.28</v>
      </c>
      <c r="M839" s="16" t="s">
        <v>1580</v>
      </c>
      <c r="N839" s="16" t="s">
        <v>1581</v>
      </c>
      <c r="O839" s="16" t="s">
        <v>1582</v>
      </c>
    </row>
    <row r="840" ht="15.75" customHeight="1">
      <c r="A840" s="19">
        <v>45580.0</v>
      </c>
      <c r="B840" s="16" t="s">
        <v>35</v>
      </c>
      <c r="C840" s="16" t="str">
        <f t="shared" si="1"/>
        <v>Medellín</v>
      </c>
      <c r="D840" s="16" t="str">
        <f t="shared" si="2"/>
        <v>Medellín</v>
      </c>
      <c r="E840" s="16" t="str">
        <f t="shared" si="3"/>
        <v>Medellín</v>
      </c>
      <c r="F840" s="16" t="s">
        <v>54</v>
      </c>
      <c r="G840" s="17" t="str">
        <f>IFERROR(__xludf.DUMMYFUNCTION("SPLIT(F840:F1839,""-"") "),"Laptop")</f>
        <v>Laptop</v>
      </c>
      <c r="H840" s="16" t="str">
        <f>IFERROR(__xludf.DUMMYFUNCTION("""COMPUTED_VALUE"""),"Oficina")</f>
        <v>Oficina</v>
      </c>
      <c r="I840" s="16" t="str">
        <f>IFERROR(__xludf.DUMMYFUNCTION("""COMPUTED_VALUE"""),"8GB")</f>
        <v>8GB</v>
      </c>
      <c r="J840" s="18">
        <v>2242.47</v>
      </c>
      <c r="K840" s="16">
        <v>4.0</v>
      </c>
      <c r="L840" s="18">
        <v>8969.88</v>
      </c>
      <c r="M840" s="16" t="s">
        <v>302</v>
      </c>
      <c r="N840" s="16" t="s">
        <v>303</v>
      </c>
      <c r="O840" s="16" t="s">
        <v>304</v>
      </c>
    </row>
    <row r="841" ht="15.75" customHeight="1">
      <c r="A841" s="19">
        <v>45646.0</v>
      </c>
      <c r="B841" s="16" t="s">
        <v>2359</v>
      </c>
      <c r="C841" s="16" t="str">
        <f t="shared" si="1"/>
        <v>Ciudad De M√©Xico</v>
      </c>
      <c r="D841" s="16" t="str">
        <f t="shared" si="2"/>
        <v>Ciudad De M√©Xico</v>
      </c>
      <c r="E841" s="16" t="str">
        <f t="shared" si="3"/>
        <v>Ciudad De MéXico</v>
      </c>
      <c r="F841" s="16" t="s">
        <v>163</v>
      </c>
      <c r="G841" s="17" t="str">
        <f>IFERROR(__xludf.DUMMYFUNCTION("SPLIT(F841:F1840,""-"") "),"Laptop")</f>
        <v>Laptop</v>
      </c>
      <c r="H841" s="16" t="str">
        <f>IFERROR(__xludf.DUMMYFUNCTION("""COMPUTED_VALUE"""),"Oficina")</f>
        <v>Oficina</v>
      </c>
      <c r="I841" s="16" t="str">
        <f>IFERROR(__xludf.DUMMYFUNCTION("""COMPUTED_VALUE"""),"32GB")</f>
        <v>32GB</v>
      </c>
      <c r="J841" s="18">
        <v>1507.69</v>
      </c>
      <c r="K841" s="16">
        <v>5.0</v>
      </c>
      <c r="L841" s="18">
        <v>7538.45</v>
      </c>
      <c r="M841" s="16" t="s">
        <v>2020</v>
      </c>
      <c r="N841" s="16" t="s">
        <v>2021</v>
      </c>
      <c r="O841" s="16" t="s">
        <v>2022</v>
      </c>
    </row>
    <row r="842" ht="15.75" customHeight="1">
      <c r="A842" s="19">
        <v>45650.0</v>
      </c>
      <c r="B842" s="16" t="s">
        <v>35</v>
      </c>
      <c r="C842" s="16" t="str">
        <f t="shared" si="1"/>
        <v>Medellín</v>
      </c>
      <c r="D842" s="16" t="str">
        <f t="shared" si="2"/>
        <v>Medellín</v>
      </c>
      <c r="E842" s="16" t="str">
        <f t="shared" si="3"/>
        <v>Medellín</v>
      </c>
      <c r="F842" s="16" t="s">
        <v>117</v>
      </c>
      <c r="G842" s="17" t="str">
        <f>IFERROR(__xludf.DUMMYFUNCTION("SPLIT(F842:F1841,""-"") "),"Teléfono")</f>
        <v>Teléfono</v>
      </c>
      <c r="H842" s="16" t="str">
        <f>IFERROR(__xludf.DUMMYFUNCTION("""COMPUTED_VALUE"""),"Gama baja")</f>
        <v>Gama baja</v>
      </c>
      <c r="I842" s="16" t="str">
        <f>IFERROR(__xludf.DUMMYFUNCTION("""COMPUTED_VALUE"""),"16GB")</f>
        <v>16GB</v>
      </c>
      <c r="J842" s="18">
        <v>920.71</v>
      </c>
      <c r="K842" s="16">
        <v>4.0</v>
      </c>
      <c r="L842" s="18">
        <v>3682.84</v>
      </c>
      <c r="M842" s="16" t="s">
        <v>2153</v>
      </c>
      <c r="N842" s="16" t="s">
        <v>2154</v>
      </c>
      <c r="O842" s="16" t="s">
        <v>2155</v>
      </c>
    </row>
    <row r="843" ht="15.75" customHeight="1">
      <c r="A843" s="19">
        <v>45594.0</v>
      </c>
      <c r="B843" s="16" t="s">
        <v>14</v>
      </c>
      <c r="C843" s="16" t="str">
        <f t="shared" si="1"/>
        <v>Bogotá</v>
      </c>
      <c r="D843" s="16" t="str">
        <f t="shared" si="2"/>
        <v>Bogotá</v>
      </c>
      <c r="E843" s="16" t="str">
        <f t="shared" si="3"/>
        <v>Bogotá</v>
      </c>
      <c r="F843" s="16" t="s">
        <v>218</v>
      </c>
      <c r="G843" s="17" t="str">
        <f>IFERROR(__xludf.DUMMYFUNCTION("SPLIT(F843:F1842,""-"") "),"Teléfono")</f>
        <v>Teléfono</v>
      </c>
      <c r="H843" s="16" t="str">
        <f>IFERROR(__xludf.DUMMYFUNCTION("""COMPUTED_VALUE"""),"Gama media")</f>
        <v>Gama media</v>
      </c>
      <c r="I843" s="16" t="str">
        <f>IFERROR(__xludf.DUMMYFUNCTION("""COMPUTED_VALUE"""),"4GB")</f>
        <v>4GB</v>
      </c>
      <c r="J843" s="18">
        <v>140.58</v>
      </c>
      <c r="K843" s="16">
        <v>3.0</v>
      </c>
      <c r="L843" s="18">
        <v>421.74</v>
      </c>
      <c r="M843" s="16" t="s">
        <v>760</v>
      </c>
      <c r="N843" s="16" t="s">
        <v>761</v>
      </c>
      <c r="O843" s="16" t="s">
        <v>762</v>
      </c>
    </row>
    <row r="844" ht="15.75" customHeight="1">
      <c r="A844" s="23">
        <v>45608.0</v>
      </c>
      <c r="B844" s="16" t="s">
        <v>9</v>
      </c>
      <c r="C844" s="16" t="str">
        <f t="shared" si="1"/>
        <v>Monterrey</v>
      </c>
      <c r="D844" s="16" t="str">
        <f t="shared" si="2"/>
        <v>Monterrey</v>
      </c>
      <c r="E844" s="16" t="str">
        <f t="shared" si="3"/>
        <v>Monterrey</v>
      </c>
      <c r="F844" s="16" t="s">
        <v>71</v>
      </c>
      <c r="G844" s="17" t="str">
        <f>IFERROR(__xludf.DUMMYFUNCTION("SPLIT(F844:F1843,""-"") "),"Auriculares")</f>
        <v>Auriculares</v>
      </c>
      <c r="H844" s="16" t="str">
        <f>IFERROR(__xludf.DUMMYFUNCTION("""COMPUTED_VALUE"""),"Bluetooth")</f>
        <v>Bluetooth</v>
      </c>
      <c r="I844" s="16" t="str">
        <f>IFERROR(__xludf.DUMMYFUNCTION("""COMPUTED_VALUE"""),"16GB")</f>
        <v>16GB</v>
      </c>
      <c r="J844" s="18">
        <v>1383.94</v>
      </c>
      <c r="K844" s="16">
        <v>3.0</v>
      </c>
      <c r="L844" s="18">
        <v>4151.82</v>
      </c>
      <c r="M844" s="16" t="s">
        <v>1027</v>
      </c>
      <c r="N844" s="16" t="s">
        <v>1028</v>
      </c>
      <c r="O844" s="16" t="s">
        <v>1029</v>
      </c>
    </row>
    <row r="845" ht="15.75" customHeight="1">
      <c r="A845" s="19">
        <v>45641.0</v>
      </c>
      <c r="B845" s="16" t="s">
        <v>75</v>
      </c>
      <c r="C845" s="16" t="str">
        <f t="shared" si="1"/>
        <v>Cali</v>
      </c>
      <c r="D845" s="16" t="str">
        <f t="shared" si="2"/>
        <v>Cali</v>
      </c>
      <c r="E845" s="16" t="str">
        <f t="shared" si="3"/>
        <v>Cali</v>
      </c>
      <c r="F845" s="16" t="s">
        <v>190</v>
      </c>
      <c r="G845" s="17" t="str">
        <f>IFERROR(__xludf.DUMMYFUNCTION("SPLIT(F845:F1844,""-"") "),"Laptop")</f>
        <v>Laptop</v>
      </c>
      <c r="H845" s="16" t="str">
        <f>IFERROR(__xludf.DUMMYFUNCTION("""COMPUTED_VALUE"""),"Ultraliviana")</f>
        <v>Ultraliviana</v>
      </c>
      <c r="I845" s="16" t="str">
        <f>IFERROR(__xludf.DUMMYFUNCTION("""COMPUTED_VALUE"""),"16GB")</f>
        <v>16GB</v>
      </c>
      <c r="J845" s="18">
        <v>806.78</v>
      </c>
      <c r="K845" s="16">
        <v>1.0</v>
      </c>
      <c r="L845" s="18">
        <v>806.78</v>
      </c>
      <c r="M845" s="16" t="s">
        <v>1867</v>
      </c>
      <c r="N845" s="16" t="s">
        <v>1868</v>
      </c>
      <c r="O845" s="16" t="s">
        <v>1869</v>
      </c>
    </row>
    <row r="846" ht="15.75" customHeight="1">
      <c r="A846" s="19">
        <v>45594.0</v>
      </c>
      <c r="B846" s="16" t="s">
        <v>2359</v>
      </c>
      <c r="C846" s="16" t="str">
        <f t="shared" si="1"/>
        <v>Ciudad De M√©Xico</v>
      </c>
      <c r="D846" s="16" t="str">
        <f t="shared" si="2"/>
        <v>Ciudad De M√©Xico</v>
      </c>
      <c r="E846" s="16" t="str">
        <f t="shared" si="3"/>
        <v>Ciudad De MéXico</v>
      </c>
      <c r="F846" s="16" t="s">
        <v>121</v>
      </c>
      <c r="G846" s="17" t="str">
        <f>IFERROR(__xludf.DUMMYFUNCTION("SPLIT(F846:F1845,""-"") "),"Teléfono")</f>
        <v>Teléfono</v>
      </c>
      <c r="H846" s="16" t="str">
        <f>IFERROR(__xludf.DUMMYFUNCTION("""COMPUTED_VALUE"""),"Gama alta")</f>
        <v>Gama alta</v>
      </c>
      <c r="I846" s="16" t="str">
        <f>IFERROR(__xludf.DUMMYFUNCTION("""COMPUTED_VALUE"""),"8GB")</f>
        <v>8GB</v>
      </c>
      <c r="J846" s="18">
        <v>1292.41</v>
      </c>
      <c r="K846" s="16">
        <v>5.0</v>
      </c>
      <c r="L846" s="18">
        <v>6462.05</v>
      </c>
      <c r="M846" s="16" t="s">
        <v>763</v>
      </c>
      <c r="N846" s="16" t="s">
        <v>764</v>
      </c>
      <c r="O846" s="16" t="s">
        <v>765</v>
      </c>
    </row>
    <row r="847" ht="15.75" customHeight="1">
      <c r="A847" s="23">
        <v>45423.0</v>
      </c>
      <c r="B847" s="16" t="s">
        <v>35</v>
      </c>
      <c r="C847" s="16" t="str">
        <f t="shared" si="1"/>
        <v>Medellín</v>
      </c>
      <c r="D847" s="16" t="str">
        <f t="shared" si="2"/>
        <v>Medellín</v>
      </c>
      <c r="E847" s="16" t="str">
        <f t="shared" si="3"/>
        <v>Medellín</v>
      </c>
      <c r="F847" s="16" t="s">
        <v>125</v>
      </c>
      <c r="G847" s="17" t="str">
        <f>IFERROR(__xludf.DUMMYFUNCTION("SPLIT(F847:F1846,""-"") "),"Tel√©fono")</f>
        <v>Tel√©fono</v>
      </c>
      <c r="H847" s="16" t="str">
        <f>IFERROR(__xludf.DUMMYFUNCTION("""COMPUTED_VALUE"""),"Gama media")</f>
        <v>Gama media</v>
      </c>
      <c r="I847" s="16" t="str">
        <f>IFERROR(__xludf.DUMMYFUNCTION("""COMPUTED_VALUE"""),"8GB")</f>
        <v>8GB</v>
      </c>
      <c r="J847" s="18">
        <v>1983.71</v>
      </c>
      <c r="K847" s="16">
        <v>2.0</v>
      </c>
      <c r="L847" s="18">
        <v>3967.42</v>
      </c>
      <c r="M847" s="16" t="s">
        <v>3032</v>
      </c>
      <c r="N847" s="16" t="s">
        <v>3033</v>
      </c>
      <c r="O847" s="16" t="s">
        <v>3034</v>
      </c>
    </row>
    <row r="848" ht="15.75" customHeight="1">
      <c r="A848" s="23">
        <v>45606.0</v>
      </c>
      <c r="B848" s="16" t="s">
        <v>89</v>
      </c>
      <c r="C848" s="16" t="str">
        <f t="shared" si="1"/>
        <v>Tulum</v>
      </c>
      <c r="D848" s="16" t="str">
        <f t="shared" si="2"/>
        <v>Tulum</v>
      </c>
      <c r="E848" s="16" t="str">
        <f t="shared" si="3"/>
        <v>Tulum</v>
      </c>
      <c r="F848" s="16" t="s">
        <v>85</v>
      </c>
      <c r="G848" s="17" t="str">
        <f>IFERROR(__xludf.DUMMYFUNCTION("SPLIT(F848:F1847,""-"") "),"Teléfono")</f>
        <v>Teléfono</v>
      </c>
      <c r="H848" s="16" t="str">
        <f>IFERROR(__xludf.DUMMYFUNCTION("""COMPUTED_VALUE"""),"Gama media")</f>
        <v>Gama media</v>
      </c>
      <c r="I848" s="16" t="str">
        <f>IFERROR(__xludf.DUMMYFUNCTION("""COMPUTED_VALUE"""),"32GB")</f>
        <v>32GB</v>
      </c>
      <c r="J848" s="18">
        <v>2390.84</v>
      </c>
      <c r="K848" s="16">
        <v>5.0</v>
      </c>
      <c r="L848" s="18">
        <v>11954.2</v>
      </c>
      <c r="M848" s="16" t="s">
        <v>963</v>
      </c>
      <c r="N848" s="16" t="s">
        <v>964</v>
      </c>
      <c r="O848" s="16" t="s">
        <v>965</v>
      </c>
    </row>
    <row r="849" ht="15.75" customHeight="1">
      <c r="A849" s="19">
        <v>45611.0</v>
      </c>
      <c r="B849" s="16" t="s">
        <v>58</v>
      </c>
      <c r="C849" s="16" t="str">
        <f t="shared" si="1"/>
        <v>Guadalajara</v>
      </c>
      <c r="D849" s="16" t="str">
        <f t="shared" si="2"/>
        <v>Guadalajara</v>
      </c>
      <c r="E849" s="16" t="str">
        <f t="shared" si="3"/>
        <v>Guadalajara</v>
      </c>
      <c r="F849" s="16" t="s">
        <v>186</v>
      </c>
      <c r="G849" s="17" t="str">
        <f>IFERROR(__xludf.DUMMYFUNCTION("SPLIT(F849:F1848,""-"") "),"Auriculares")</f>
        <v>Auriculares</v>
      </c>
      <c r="H849" s="16" t="str">
        <f>IFERROR(__xludf.DUMMYFUNCTION("""COMPUTED_VALUE"""),"Cancelaci√≥n de ruido")</f>
        <v>Cancelaci√≥n de ruido</v>
      </c>
      <c r="I849" s="16" t="str">
        <f>IFERROR(__xludf.DUMMYFUNCTION("""COMPUTED_VALUE"""),"16GB")</f>
        <v>16GB</v>
      </c>
      <c r="J849" s="18">
        <v>1943.33</v>
      </c>
      <c r="K849" s="16">
        <v>1.0</v>
      </c>
      <c r="L849" s="18">
        <v>1943.33</v>
      </c>
      <c r="M849" s="16" t="s">
        <v>1143</v>
      </c>
      <c r="N849" s="16" t="s">
        <v>1144</v>
      </c>
      <c r="O849" s="16" t="s">
        <v>1145</v>
      </c>
    </row>
    <row r="850" ht="15.75" customHeight="1">
      <c r="A850" s="19">
        <v>45610.0</v>
      </c>
      <c r="B850" s="16" t="s">
        <v>14</v>
      </c>
      <c r="C850" s="16" t="str">
        <f t="shared" si="1"/>
        <v>Bogotá</v>
      </c>
      <c r="D850" s="16" t="str">
        <f t="shared" si="2"/>
        <v>Bogotá</v>
      </c>
      <c r="E850" s="16" t="str">
        <f t="shared" si="3"/>
        <v>Bogotá</v>
      </c>
      <c r="F850" s="16" t="s">
        <v>125</v>
      </c>
      <c r="G850" s="17" t="str">
        <f>IFERROR(__xludf.DUMMYFUNCTION("SPLIT(F850:F1849,""-"") "),"Tel√©fono")</f>
        <v>Tel√©fono</v>
      </c>
      <c r="H850" s="16" t="str">
        <f>IFERROR(__xludf.DUMMYFUNCTION("""COMPUTED_VALUE"""),"Gama media")</f>
        <v>Gama media</v>
      </c>
      <c r="I850" s="16" t="str">
        <f>IFERROR(__xludf.DUMMYFUNCTION("""COMPUTED_VALUE"""),"8GB")</f>
        <v>8GB</v>
      </c>
      <c r="J850" s="18">
        <v>718.69</v>
      </c>
      <c r="K850" s="16">
        <v>4.0</v>
      </c>
      <c r="L850" s="18">
        <v>2874.76</v>
      </c>
      <c r="M850" s="16" t="s">
        <v>1100</v>
      </c>
      <c r="N850" s="16" t="s">
        <v>1101</v>
      </c>
      <c r="O850" s="16" t="s">
        <v>1102</v>
      </c>
    </row>
    <row r="851" ht="15.75" customHeight="1">
      <c r="A851" s="19">
        <v>45647.0</v>
      </c>
      <c r="B851" s="16" t="s">
        <v>75</v>
      </c>
      <c r="C851" s="16" t="str">
        <f t="shared" si="1"/>
        <v>Cali</v>
      </c>
      <c r="D851" s="16" t="str">
        <f t="shared" si="2"/>
        <v>Cali</v>
      </c>
      <c r="E851" s="16" t="str">
        <f t="shared" si="3"/>
        <v>Cali</v>
      </c>
      <c r="F851" s="16" t="s">
        <v>125</v>
      </c>
      <c r="G851" s="17" t="str">
        <f>IFERROR(__xludf.DUMMYFUNCTION("SPLIT(F851:F1850,""-"") "),"Tel√©fono")</f>
        <v>Tel√©fono</v>
      </c>
      <c r="H851" s="16" t="str">
        <f>IFERROR(__xludf.DUMMYFUNCTION("""COMPUTED_VALUE"""),"Gama media")</f>
        <v>Gama media</v>
      </c>
      <c r="I851" s="16" t="str">
        <f>IFERROR(__xludf.DUMMYFUNCTION("""COMPUTED_VALUE"""),"8GB")</f>
        <v>8GB</v>
      </c>
      <c r="J851" s="18">
        <v>1979.07</v>
      </c>
      <c r="K851" s="16">
        <v>1.0</v>
      </c>
      <c r="L851" s="18">
        <v>1979.07</v>
      </c>
      <c r="M851" s="16" t="s">
        <v>2060</v>
      </c>
      <c r="N851" s="16" t="s">
        <v>2061</v>
      </c>
      <c r="O851" s="16" t="s">
        <v>2062</v>
      </c>
    </row>
    <row r="852" ht="15.75" customHeight="1">
      <c r="A852" s="19">
        <v>45584.0</v>
      </c>
      <c r="B852" s="16" t="s">
        <v>75</v>
      </c>
      <c r="C852" s="16" t="str">
        <f t="shared" si="1"/>
        <v>Cali</v>
      </c>
      <c r="D852" s="16" t="str">
        <f t="shared" si="2"/>
        <v>Cali</v>
      </c>
      <c r="E852" s="16" t="str">
        <f t="shared" si="3"/>
        <v>Cali</v>
      </c>
      <c r="F852" s="16" t="s">
        <v>15</v>
      </c>
      <c r="G852" s="17" t="str">
        <f>IFERROR(__xludf.DUMMYFUNCTION("SPLIT(F852:F1851,""-"") "),"Auriculares")</f>
        <v>Auriculares</v>
      </c>
      <c r="H852" s="16" t="str">
        <f>IFERROR(__xludf.DUMMYFUNCTION("""COMPUTED_VALUE"""),"Con cable")</f>
        <v>Con cable</v>
      </c>
      <c r="I852" s="16" t="str">
        <f>IFERROR(__xludf.DUMMYFUNCTION("""COMPUTED_VALUE"""),"32GB")</f>
        <v>32GB</v>
      </c>
      <c r="J852" s="18">
        <v>2317.94</v>
      </c>
      <c r="K852" s="16">
        <v>4.0</v>
      </c>
      <c r="L852" s="18">
        <v>9271.76</v>
      </c>
      <c r="M852" s="16" t="s">
        <v>446</v>
      </c>
      <c r="N852" s="16" t="s">
        <v>447</v>
      </c>
      <c r="O852" s="16" t="s">
        <v>448</v>
      </c>
    </row>
    <row r="853" ht="15.75" customHeight="1">
      <c r="A853" s="19">
        <v>45647.0</v>
      </c>
      <c r="B853" s="16" t="s">
        <v>58</v>
      </c>
      <c r="C853" s="16" t="str">
        <f t="shared" si="1"/>
        <v>Guadalajara</v>
      </c>
      <c r="D853" s="16" t="str">
        <f t="shared" si="2"/>
        <v>Guadalajara</v>
      </c>
      <c r="E853" s="16" t="str">
        <f t="shared" si="3"/>
        <v>Guadalajara</v>
      </c>
      <c r="F853" s="16" t="s">
        <v>90</v>
      </c>
      <c r="G853" s="17" t="str">
        <f>IFERROR(__xludf.DUMMYFUNCTION("SPLIT(F853:F1852,""-"") "),"Laptop")</f>
        <v>Laptop</v>
      </c>
      <c r="H853" s="16" t="str">
        <f>IFERROR(__xludf.DUMMYFUNCTION("""COMPUTED_VALUE"""),"Gaming")</f>
        <v>Gaming</v>
      </c>
      <c r="I853" s="16" t="str">
        <f>IFERROR(__xludf.DUMMYFUNCTION("""COMPUTED_VALUE"""),"32GB")</f>
        <v>32GB</v>
      </c>
      <c r="J853" s="18">
        <v>1397.8</v>
      </c>
      <c r="K853" s="16">
        <v>2.0</v>
      </c>
      <c r="L853" s="18">
        <v>2795.6</v>
      </c>
      <c r="M853" s="16" t="s">
        <v>2063</v>
      </c>
      <c r="N853" s="16" t="s">
        <v>2064</v>
      </c>
      <c r="O853" s="16" t="s">
        <v>2065</v>
      </c>
    </row>
    <row r="854" ht="15.75" customHeight="1">
      <c r="A854" s="23">
        <v>45636.0</v>
      </c>
      <c r="B854" s="16" t="s">
        <v>75</v>
      </c>
      <c r="C854" s="16" t="str">
        <f t="shared" si="1"/>
        <v>Cali</v>
      </c>
      <c r="D854" s="16" t="str">
        <f t="shared" si="2"/>
        <v>Cali</v>
      </c>
      <c r="E854" s="16" t="str">
        <f t="shared" si="3"/>
        <v>Cali</v>
      </c>
      <c r="F854" s="16" t="s">
        <v>292</v>
      </c>
      <c r="G854" s="17" t="str">
        <f>IFERROR(__xludf.DUMMYFUNCTION("SPLIT(F854:F1853,""-"") "),"Teléfono")</f>
        <v>Teléfono</v>
      </c>
      <c r="H854" s="16" t="str">
        <f>IFERROR(__xludf.DUMMYFUNCTION("""COMPUTED_VALUE"""),"Gama alta")</f>
        <v>Gama alta</v>
      </c>
      <c r="I854" s="16" t="str">
        <f>IFERROR(__xludf.DUMMYFUNCTION("""COMPUTED_VALUE"""),"16GB")</f>
        <v>16GB</v>
      </c>
      <c r="J854" s="18">
        <v>974.06</v>
      </c>
      <c r="K854" s="16">
        <v>5.0</v>
      </c>
      <c r="L854" s="18">
        <v>4870.3</v>
      </c>
      <c r="M854" s="16" t="s">
        <v>1745</v>
      </c>
      <c r="N854" s="16" t="s">
        <v>1746</v>
      </c>
      <c r="O854" s="16" t="s">
        <v>1747</v>
      </c>
    </row>
    <row r="855" ht="15.75" customHeight="1">
      <c r="A855" s="19">
        <v>45656.0</v>
      </c>
      <c r="B855" s="16" t="s">
        <v>9</v>
      </c>
      <c r="C855" s="16" t="str">
        <f t="shared" si="1"/>
        <v>Monterrey</v>
      </c>
      <c r="D855" s="16" t="str">
        <f t="shared" si="2"/>
        <v>Monterrey</v>
      </c>
      <c r="E855" s="16" t="str">
        <f t="shared" si="3"/>
        <v>Monterrey</v>
      </c>
      <c r="F855" s="16" t="s">
        <v>40</v>
      </c>
      <c r="G855" s="17" t="str">
        <f>IFERROR(__xludf.DUMMYFUNCTION("SPLIT(F855:F1854,""-"") "),"Auriculares")</f>
        <v>Auriculares</v>
      </c>
      <c r="H855" s="16" t="str">
        <f>IFERROR(__xludf.DUMMYFUNCTION("""COMPUTED_VALUE"""),"Con cable")</f>
        <v>Con cable</v>
      </c>
      <c r="I855" s="16" t="str">
        <f>IFERROR(__xludf.DUMMYFUNCTION("""COMPUTED_VALUE"""),"8GB")</f>
        <v>8GB</v>
      </c>
      <c r="J855" s="18">
        <v>2086.06</v>
      </c>
      <c r="K855" s="16">
        <v>1.0</v>
      </c>
      <c r="L855" s="18">
        <v>2086.06</v>
      </c>
      <c r="M855" s="16" t="s">
        <v>2324</v>
      </c>
      <c r="N855" s="16" t="s">
        <v>2325</v>
      </c>
      <c r="O855" s="16" t="s">
        <v>2326</v>
      </c>
    </row>
    <row r="856" ht="15.75" customHeight="1">
      <c r="A856" s="23">
        <v>45636.0</v>
      </c>
      <c r="B856" s="16" t="s">
        <v>58</v>
      </c>
      <c r="C856" s="16" t="str">
        <f t="shared" si="1"/>
        <v>Guadalajara</v>
      </c>
      <c r="D856" s="16" t="str">
        <f t="shared" si="2"/>
        <v>Guadalajara</v>
      </c>
      <c r="E856" s="16" t="str">
        <f t="shared" si="3"/>
        <v>Guadalajara</v>
      </c>
      <c r="F856" s="16" t="s">
        <v>259</v>
      </c>
      <c r="G856" s="17" t="str">
        <f>IFERROR(__xludf.DUMMYFUNCTION("SPLIT(F856:F1855,""-"") "),"Auriculares")</f>
        <v>Auriculares</v>
      </c>
      <c r="H856" s="16" t="str">
        <f>IFERROR(__xludf.DUMMYFUNCTION("""COMPUTED_VALUE"""),"Cancelación de ruido")</f>
        <v>Cancelación de ruido</v>
      </c>
      <c r="I856" s="16" t="str">
        <f>IFERROR(__xludf.DUMMYFUNCTION("""COMPUTED_VALUE"""),"8GB")</f>
        <v>8GB</v>
      </c>
      <c r="J856" s="18">
        <v>1808.15</v>
      </c>
      <c r="K856" s="16">
        <v>2.0</v>
      </c>
      <c r="L856" s="18">
        <v>3616.3</v>
      </c>
      <c r="M856" s="16" t="s">
        <v>1748</v>
      </c>
      <c r="N856" s="16" t="s">
        <v>1749</v>
      </c>
      <c r="O856" s="16" t="s">
        <v>1750</v>
      </c>
    </row>
    <row r="857" ht="15.75" customHeight="1">
      <c r="A857" s="19">
        <v>45616.0</v>
      </c>
      <c r="B857" s="16" t="s">
        <v>58</v>
      </c>
      <c r="C857" s="16" t="str">
        <f t="shared" si="1"/>
        <v>Guadalajara</v>
      </c>
      <c r="D857" s="16" t="str">
        <f t="shared" si="2"/>
        <v>Guadalajara</v>
      </c>
      <c r="E857" s="16" t="str">
        <f t="shared" si="3"/>
        <v>Guadalajara</v>
      </c>
      <c r="F857" s="16" t="s">
        <v>132</v>
      </c>
      <c r="G857" s="17" t="str">
        <f>IFERROR(__xludf.DUMMYFUNCTION("SPLIT(F857:F1856,""-"") "),"Tablet")</f>
        <v>Tablet</v>
      </c>
      <c r="H857" s="16" t="str">
        <f>IFERROR(__xludf.DUMMYFUNCTION("""COMPUTED_VALUE"""),"Pro")</f>
        <v>Pro</v>
      </c>
      <c r="I857" s="16" t="str">
        <f>IFERROR(__xludf.DUMMYFUNCTION("""COMPUTED_VALUE"""),"8GB")</f>
        <v>8GB</v>
      </c>
      <c r="J857" s="18">
        <v>1130.03</v>
      </c>
      <c r="K857" s="16">
        <v>5.0</v>
      </c>
      <c r="L857" s="18">
        <v>5650.15</v>
      </c>
      <c r="M857" s="16" t="s">
        <v>1323</v>
      </c>
      <c r="N857" s="16" t="s">
        <v>1324</v>
      </c>
      <c r="O857" s="16" t="s">
        <v>1325</v>
      </c>
    </row>
    <row r="858" ht="15.75" customHeight="1">
      <c r="A858" s="19">
        <v>45581.0</v>
      </c>
      <c r="B858" s="16" t="s">
        <v>2359</v>
      </c>
      <c r="C858" s="16" t="str">
        <f t="shared" si="1"/>
        <v>Ciudad De M√©Xico</v>
      </c>
      <c r="D858" s="16" t="str">
        <f t="shared" si="2"/>
        <v>Ciudad De M√©Xico</v>
      </c>
      <c r="E858" s="16" t="str">
        <f t="shared" si="3"/>
        <v>Ciudad De MéXico</v>
      </c>
      <c r="F858" s="16" t="s">
        <v>344</v>
      </c>
      <c r="G858" s="17" t="str">
        <f>IFERROR(__xludf.DUMMYFUNCTION("SPLIT(F858:F1857,""-"") "),"Laptop")</f>
        <v>Laptop</v>
      </c>
      <c r="H858" s="16" t="str">
        <f>IFERROR(__xludf.DUMMYFUNCTION("""COMPUTED_VALUE"""),"Ultraliviana")</f>
        <v>Ultraliviana</v>
      </c>
      <c r="I858" s="16" t="str">
        <f>IFERROR(__xludf.DUMMYFUNCTION("""COMPUTED_VALUE"""),"8GB")</f>
        <v>8GB</v>
      </c>
      <c r="J858" s="18">
        <v>903.41</v>
      </c>
      <c r="K858" s="16">
        <v>3.0</v>
      </c>
      <c r="L858" s="18">
        <v>2710.23</v>
      </c>
      <c r="M858" s="16" t="s">
        <v>345</v>
      </c>
      <c r="N858" s="16" t="s">
        <v>346</v>
      </c>
      <c r="O858" s="16" t="s">
        <v>347</v>
      </c>
    </row>
    <row r="859" ht="15.75" customHeight="1">
      <c r="A859" s="19">
        <v>45588.0</v>
      </c>
      <c r="B859" s="16" t="s">
        <v>35</v>
      </c>
      <c r="C859" s="16" t="str">
        <f t="shared" si="1"/>
        <v>Medellín</v>
      </c>
      <c r="D859" s="16" t="str">
        <f t="shared" si="2"/>
        <v>Medellín</v>
      </c>
      <c r="E859" s="16" t="str">
        <f t="shared" si="3"/>
        <v>Medellín</v>
      </c>
      <c r="F859" s="16" t="s">
        <v>90</v>
      </c>
      <c r="G859" s="17" t="str">
        <f>IFERROR(__xludf.DUMMYFUNCTION("SPLIT(F859:F1858,""-"") "),"Laptop")</f>
        <v>Laptop</v>
      </c>
      <c r="H859" s="16" t="str">
        <f>IFERROR(__xludf.DUMMYFUNCTION("""COMPUTED_VALUE"""),"Gaming")</f>
        <v>Gaming</v>
      </c>
      <c r="I859" s="16" t="str">
        <f>IFERROR(__xludf.DUMMYFUNCTION("""COMPUTED_VALUE"""),"32GB")</f>
        <v>32GB</v>
      </c>
      <c r="J859" s="18">
        <v>379.64</v>
      </c>
      <c r="K859" s="16">
        <v>3.0</v>
      </c>
      <c r="L859" s="18">
        <v>1138.92</v>
      </c>
      <c r="M859" s="16" t="s">
        <v>565</v>
      </c>
      <c r="N859" s="16" t="s">
        <v>566</v>
      </c>
      <c r="O859" s="16" t="s">
        <v>567</v>
      </c>
    </row>
    <row r="860" ht="15.75" customHeight="1">
      <c r="A860" s="19">
        <v>45652.0</v>
      </c>
      <c r="B860" s="16" t="s">
        <v>75</v>
      </c>
      <c r="C860" s="16" t="str">
        <f t="shared" si="1"/>
        <v>Cali</v>
      </c>
      <c r="D860" s="16" t="str">
        <f t="shared" si="2"/>
        <v>Cali</v>
      </c>
      <c r="E860" s="16" t="str">
        <f t="shared" si="3"/>
        <v>Cali</v>
      </c>
      <c r="F860" s="16" t="s">
        <v>40</v>
      </c>
      <c r="G860" s="17" t="str">
        <f>IFERROR(__xludf.DUMMYFUNCTION("SPLIT(F860:F1859,""-"") "),"Auriculares")</f>
        <v>Auriculares</v>
      </c>
      <c r="H860" s="16" t="str">
        <f>IFERROR(__xludf.DUMMYFUNCTION("""COMPUTED_VALUE"""),"Con cable")</f>
        <v>Con cable</v>
      </c>
      <c r="I860" s="16" t="str">
        <f>IFERROR(__xludf.DUMMYFUNCTION("""COMPUTED_VALUE"""),"8GB")</f>
        <v>8GB</v>
      </c>
      <c r="J860" s="18">
        <v>554.25</v>
      </c>
      <c r="K860" s="16">
        <v>1.0</v>
      </c>
      <c r="L860" s="18">
        <v>554.25</v>
      </c>
      <c r="M860" s="16" t="s">
        <v>2207</v>
      </c>
      <c r="N860" s="16" t="s">
        <v>2208</v>
      </c>
      <c r="O860" s="16" t="s">
        <v>2209</v>
      </c>
    </row>
    <row r="861" ht="15.75" customHeight="1">
      <c r="A861" s="23">
        <v>45423.0</v>
      </c>
      <c r="B861" s="16" t="s">
        <v>9</v>
      </c>
      <c r="C861" s="16" t="str">
        <f t="shared" si="1"/>
        <v>Monterrey</v>
      </c>
      <c r="D861" s="16" t="str">
        <f t="shared" si="2"/>
        <v>Monterrey</v>
      </c>
      <c r="E861" s="16" t="str">
        <f t="shared" si="3"/>
        <v>Monterrey</v>
      </c>
      <c r="F861" s="16" t="s">
        <v>218</v>
      </c>
      <c r="G861" s="17" t="str">
        <f>IFERROR(__xludf.DUMMYFUNCTION("SPLIT(F861:F1860,""-"") "),"Teléfono")</f>
        <v>Teléfono</v>
      </c>
      <c r="H861" s="16" t="str">
        <f>IFERROR(__xludf.DUMMYFUNCTION("""COMPUTED_VALUE"""),"Gama media")</f>
        <v>Gama media</v>
      </c>
      <c r="I861" s="16" t="str">
        <f>IFERROR(__xludf.DUMMYFUNCTION("""COMPUTED_VALUE"""),"4GB")</f>
        <v>4GB</v>
      </c>
      <c r="J861" s="18">
        <v>1832.19</v>
      </c>
      <c r="K861" s="16">
        <v>1.0</v>
      </c>
      <c r="L861" s="18">
        <v>1832.19</v>
      </c>
      <c r="M861" s="16" t="s">
        <v>3035</v>
      </c>
      <c r="N861" s="16" t="s">
        <v>3036</v>
      </c>
      <c r="O861" s="16" t="s">
        <v>3037</v>
      </c>
    </row>
    <row r="862" ht="15.75" customHeight="1">
      <c r="A862" s="19">
        <v>45616.0</v>
      </c>
      <c r="B862" s="16" t="s">
        <v>2359</v>
      </c>
      <c r="C862" s="16" t="str">
        <f t="shared" si="1"/>
        <v>Ciudad De M√©Xico</v>
      </c>
      <c r="D862" s="16" t="str">
        <f t="shared" si="2"/>
        <v>Ciudad De M√©Xico</v>
      </c>
      <c r="E862" s="16" t="str">
        <f t="shared" si="3"/>
        <v>Ciudad De MéXico</v>
      </c>
      <c r="F862" s="16" t="s">
        <v>666</v>
      </c>
      <c r="G862" s="17" t="str">
        <f>IFERROR(__xludf.DUMMYFUNCTION("SPLIT(F862:F1861,""-"") "),"Auriculares")</f>
        <v>Auriculares</v>
      </c>
      <c r="H862" s="16" t="str">
        <f>IFERROR(__xludf.DUMMYFUNCTION("""COMPUTED_VALUE"""),"Cancelación de ruido")</f>
        <v>Cancelación de ruido</v>
      </c>
      <c r="I862" s="16" t="str">
        <f>IFERROR(__xludf.DUMMYFUNCTION("""COMPUTED_VALUE"""),"32GB")</f>
        <v>32GB</v>
      </c>
      <c r="J862" s="18">
        <v>1485.74</v>
      </c>
      <c r="K862" s="16">
        <v>3.0</v>
      </c>
      <c r="L862" s="18">
        <v>4457.22</v>
      </c>
      <c r="M862" s="16" t="s">
        <v>1326</v>
      </c>
      <c r="N862" s="16" t="s">
        <v>1327</v>
      </c>
      <c r="O862" s="16" t="s">
        <v>1328</v>
      </c>
    </row>
    <row r="863" ht="15.75" customHeight="1">
      <c r="A863" s="23">
        <v>45576.0</v>
      </c>
      <c r="B863" s="16" t="s">
        <v>9</v>
      </c>
      <c r="C863" s="16" t="str">
        <f t="shared" si="1"/>
        <v>Monterrey</v>
      </c>
      <c r="D863" s="16" t="str">
        <f t="shared" si="2"/>
        <v>Monterrey</v>
      </c>
      <c r="E863" s="16" t="str">
        <f t="shared" si="3"/>
        <v>Monterrey</v>
      </c>
      <c r="F863" s="16" t="s">
        <v>139</v>
      </c>
      <c r="G863" s="17" t="str">
        <f>IFERROR(__xludf.DUMMYFUNCTION("SPLIT(F863:F1862,""-"") "),"Auriculares")</f>
        <v>Auriculares</v>
      </c>
      <c r="H863" s="16" t="str">
        <f>IFERROR(__xludf.DUMMYFUNCTION("""COMPUTED_VALUE"""),"Con cable")</f>
        <v>Con cable</v>
      </c>
      <c r="I863" s="16" t="str">
        <f>IFERROR(__xludf.DUMMYFUNCTION("""COMPUTED_VALUE"""),"16GB")</f>
        <v>16GB</v>
      </c>
      <c r="J863" s="18">
        <v>1699.32</v>
      </c>
      <c r="K863" s="16">
        <v>4.0</v>
      </c>
      <c r="L863" s="18">
        <v>6797.28</v>
      </c>
      <c r="M863" s="16" t="s">
        <v>140</v>
      </c>
      <c r="N863" s="16" t="s">
        <v>141</v>
      </c>
      <c r="O863" s="16" t="s">
        <v>142</v>
      </c>
    </row>
    <row r="864" ht="15.75" customHeight="1">
      <c r="A864" s="23">
        <v>45546.0</v>
      </c>
      <c r="B864" s="16" t="s">
        <v>2359</v>
      </c>
      <c r="C864" s="16" t="str">
        <f t="shared" si="1"/>
        <v>Ciudad De M√©Xico</v>
      </c>
      <c r="D864" s="16" t="str">
        <f t="shared" si="2"/>
        <v>Ciudad De M√©Xico</v>
      </c>
      <c r="E864" s="16" t="str">
        <f t="shared" si="3"/>
        <v>Ciudad De MéXico</v>
      </c>
      <c r="F864" s="16" t="s">
        <v>59</v>
      </c>
      <c r="G864" s="17" t="str">
        <f>IFERROR(__xludf.DUMMYFUNCTION("SPLIT(F864:F1863,""-"") "),"Auriculares")</f>
        <v>Auriculares</v>
      </c>
      <c r="H864" s="16" t="str">
        <f>IFERROR(__xludf.DUMMYFUNCTION("""COMPUTED_VALUE"""),"Bluetooth")</f>
        <v>Bluetooth</v>
      </c>
      <c r="I864" s="16" t="str">
        <f>IFERROR(__xludf.DUMMYFUNCTION("""COMPUTED_VALUE"""),"4GB")</f>
        <v>4GB</v>
      </c>
      <c r="J864" s="18">
        <v>1780.69</v>
      </c>
      <c r="K864" s="16">
        <v>4.0</v>
      </c>
      <c r="L864" s="18">
        <v>7122.76</v>
      </c>
      <c r="M864" s="16" t="s">
        <v>3038</v>
      </c>
      <c r="N864" s="16" t="s">
        <v>3039</v>
      </c>
      <c r="O864" s="16" t="s">
        <v>3040</v>
      </c>
    </row>
    <row r="865" ht="15.75" customHeight="1">
      <c r="A865" s="23">
        <v>45423.0</v>
      </c>
      <c r="B865" s="16" t="s">
        <v>35</v>
      </c>
      <c r="C865" s="16" t="str">
        <f t="shared" si="1"/>
        <v>Medellín</v>
      </c>
      <c r="D865" s="16" t="str">
        <f t="shared" si="2"/>
        <v>Medellín</v>
      </c>
      <c r="E865" s="16" t="str">
        <f t="shared" si="3"/>
        <v>Medellín</v>
      </c>
      <c r="F865" s="16" t="s">
        <v>67</v>
      </c>
      <c r="G865" s="17" t="str">
        <f>IFERROR(__xludf.DUMMYFUNCTION("SPLIT(F865:F1864,""-"") "),"Tablet")</f>
        <v>Tablet</v>
      </c>
      <c r="H865" s="16" t="str">
        <f>IFERROR(__xludf.DUMMYFUNCTION("""COMPUTED_VALUE"""),"Estándar")</f>
        <v>Estándar</v>
      </c>
      <c r="I865" s="16" t="str">
        <f>IFERROR(__xludf.DUMMYFUNCTION("""COMPUTED_VALUE"""),"4GB")</f>
        <v>4GB</v>
      </c>
      <c r="J865" s="18">
        <v>484.68</v>
      </c>
      <c r="K865" s="16">
        <v>5.0</v>
      </c>
      <c r="L865" s="18">
        <v>2423.4</v>
      </c>
      <c r="M865" s="16" t="s">
        <v>3041</v>
      </c>
      <c r="N865" s="16" t="s">
        <v>3042</v>
      </c>
      <c r="O865" s="16" t="s">
        <v>3043</v>
      </c>
    </row>
    <row r="866" ht="15.75" customHeight="1">
      <c r="A866" s="23">
        <v>45361.0</v>
      </c>
      <c r="B866" s="16" t="s">
        <v>14</v>
      </c>
      <c r="C866" s="16" t="str">
        <f t="shared" si="1"/>
        <v>Bogotá</v>
      </c>
      <c r="D866" s="16" t="str">
        <f t="shared" si="2"/>
        <v>Bogotá</v>
      </c>
      <c r="E866" s="16" t="str">
        <f t="shared" si="3"/>
        <v>Bogotá</v>
      </c>
      <c r="F866" s="16" t="s">
        <v>59</v>
      </c>
      <c r="G866" s="17" t="str">
        <f>IFERROR(__xludf.DUMMYFUNCTION("SPLIT(F866:F1865,""-"") "),"Auriculares")</f>
        <v>Auriculares</v>
      </c>
      <c r="H866" s="16" t="str">
        <f>IFERROR(__xludf.DUMMYFUNCTION("""COMPUTED_VALUE"""),"Bluetooth")</f>
        <v>Bluetooth</v>
      </c>
      <c r="I866" s="16" t="str">
        <f>IFERROR(__xludf.DUMMYFUNCTION("""COMPUTED_VALUE"""),"4GB")</f>
        <v>4GB</v>
      </c>
      <c r="J866" s="18">
        <v>583.8</v>
      </c>
      <c r="K866" s="16">
        <v>5.0</v>
      </c>
      <c r="L866" s="18">
        <v>2919.0</v>
      </c>
      <c r="M866" s="16" t="s">
        <v>3044</v>
      </c>
      <c r="N866" s="16" t="s">
        <v>3045</v>
      </c>
      <c r="O866" s="16" t="s">
        <v>3046</v>
      </c>
    </row>
    <row r="867" ht="15.75" customHeight="1">
      <c r="A867" s="19">
        <v>45579.0</v>
      </c>
      <c r="B867" s="16" t="s">
        <v>9</v>
      </c>
      <c r="C867" s="16" t="str">
        <f t="shared" si="1"/>
        <v>Monterrey</v>
      </c>
      <c r="D867" s="16" t="str">
        <f t="shared" si="2"/>
        <v>Monterrey</v>
      </c>
      <c r="E867" s="16" t="str">
        <f t="shared" si="3"/>
        <v>Monterrey</v>
      </c>
      <c r="F867" s="16" t="s">
        <v>139</v>
      </c>
      <c r="G867" s="17" t="str">
        <f>IFERROR(__xludf.DUMMYFUNCTION("SPLIT(F867:F1866,""-"") "),"Auriculares")</f>
        <v>Auriculares</v>
      </c>
      <c r="H867" s="16" t="str">
        <f>IFERROR(__xludf.DUMMYFUNCTION("""COMPUTED_VALUE"""),"Con cable")</f>
        <v>Con cable</v>
      </c>
      <c r="I867" s="16" t="str">
        <f>IFERROR(__xludf.DUMMYFUNCTION("""COMPUTED_VALUE"""),"16GB")</f>
        <v>16GB</v>
      </c>
      <c r="J867" s="18">
        <v>579.54</v>
      </c>
      <c r="K867" s="16">
        <v>3.0</v>
      </c>
      <c r="L867" s="18">
        <v>1738.62</v>
      </c>
      <c r="M867" s="16" t="s">
        <v>246</v>
      </c>
      <c r="N867" s="16" t="s">
        <v>247</v>
      </c>
      <c r="O867" s="16" t="s">
        <v>248</v>
      </c>
    </row>
    <row r="868" ht="15.75" customHeight="1">
      <c r="A868" s="19">
        <v>45625.0</v>
      </c>
      <c r="B868" s="16" t="s">
        <v>2359</v>
      </c>
      <c r="C868" s="16" t="str">
        <f t="shared" si="1"/>
        <v>Ciudad De M√©Xico</v>
      </c>
      <c r="D868" s="16" t="str">
        <f t="shared" si="2"/>
        <v>Ciudad De M√©Xico</v>
      </c>
      <c r="E868" s="16" t="str">
        <f t="shared" si="3"/>
        <v>Ciudad De MéXico</v>
      </c>
      <c r="F868" s="16" t="s">
        <v>163</v>
      </c>
      <c r="G868" s="17" t="str">
        <f>IFERROR(__xludf.DUMMYFUNCTION("SPLIT(F868:F1867,""-"") "),"Laptop")</f>
        <v>Laptop</v>
      </c>
      <c r="H868" s="16" t="str">
        <f>IFERROR(__xludf.DUMMYFUNCTION("""COMPUTED_VALUE"""),"Oficina")</f>
        <v>Oficina</v>
      </c>
      <c r="I868" s="16" t="str">
        <f>IFERROR(__xludf.DUMMYFUNCTION("""COMPUTED_VALUE"""),"32GB")</f>
        <v>32GB</v>
      </c>
      <c r="J868" s="18">
        <v>1615.43</v>
      </c>
      <c r="K868" s="16">
        <v>5.0</v>
      </c>
      <c r="L868" s="18">
        <v>8077.15</v>
      </c>
      <c r="M868" s="16" t="s">
        <v>1602</v>
      </c>
      <c r="N868" s="16" t="s">
        <v>1603</v>
      </c>
      <c r="O868" s="16" t="s">
        <v>1604</v>
      </c>
    </row>
    <row r="869" ht="15.75" customHeight="1">
      <c r="A869" s="19">
        <v>45648.0</v>
      </c>
      <c r="B869" s="16" t="s">
        <v>9</v>
      </c>
      <c r="C869" s="16" t="str">
        <f t="shared" si="1"/>
        <v>Monterrey</v>
      </c>
      <c r="D869" s="16" t="str">
        <f t="shared" si="2"/>
        <v>Monterrey</v>
      </c>
      <c r="E869" s="16" t="str">
        <f t="shared" si="3"/>
        <v>Monterrey</v>
      </c>
      <c r="F869" s="16" t="s">
        <v>71</v>
      </c>
      <c r="G869" s="17" t="str">
        <f>IFERROR(__xludf.DUMMYFUNCTION("SPLIT(F869:F1868,""-"") "),"Auriculares")</f>
        <v>Auriculares</v>
      </c>
      <c r="H869" s="16" t="str">
        <f>IFERROR(__xludf.DUMMYFUNCTION("""COMPUTED_VALUE"""),"Bluetooth")</f>
        <v>Bluetooth</v>
      </c>
      <c r="I869" s="16" t="str">
        <f>IFERROR(__xludf.DUMMYFUNCTION("""COMPUTED_VALUE"""),"16GB")</f>
        <v>16GB</v>
      </c>
      <c r="J869" s="18">
        <v>489.63</v>
      </c>
      <c r="K869" s="16">
        <v>1.0</v>
      </c>
      <c r="L869" s="18">
        <v>489.63</v>
      </c>
      <c r="M869" s="16" t="s">
        <v>2087</v>
      </c>
      <c r="N869" s="16" t="s">
        <v>2088</v>
      </c>
      <c r="O869" s="16" t="s">
        <v>2089</v>
      </c>
    </row>
    <row r="870" ht="15.75" customHeight="1">
      <c r="A870" s="23">
        <v>45606.0</v>
      </c>
      <c r="B870" s="16" t="s">
        <v>35</v>
      </c>
      <c r="C870" s="16" t="str">
        <f t="shared" si="1"/>
        <v>Medellín</v>
      </c>
      <c r="D870" s="16" t="str">
        <f t="shared" si="2"/>
        <v>Medellín</v>
      </c>
      <c r="E870" s="16" t="str">
        <f t="shared" si="3"/>
        <v>Medellín</v>
      </c>
      <c r="F870" s="16" t="s">
        <v>218</v>
      </c>
      <c r="G870" s="17" t="str">
        <f>IFERROR(__xludf.DUMMYFUNCTION("SPLIT(F870:F1869,""-"") "),"Teléfono")</f>
        <v>Teléfono</v>
      </c>
      <c r="H870" s="16" t="str">
        <f>IFERROR(__xludf.DUMMYFUNCTION("""COMPUTED_VALUE"""),"Gama media")</f>
        <v>Gama media</v>
      </c>
      <c r="I870" s="16" t="str">
        <f>IFERROR(__xludf.DUMMYFUNCTION("""COMPUTED_VALUE"""),"4GB")</f>
        <v>4GB</v>
      </c>
      <c r="J870" s="18">
        <v>1415.48</v>
      </c>
      <c r="K870" s="16">
        <v>1.0</v>
      </c>
      <c r="L870" s="18">
        <v>1415.48</v>
      </c>
      <c r="M870" s="16" t="s">
        <v>966</v>
      </c>
      <c r="N870" s="16" t="s">
        <v>967</v>
      </c>
      <c r="O870" s="16" t="s">
        <v>968</v>
      </c>
    </row>
    <row r="871" ht="15.75" customHeight="1">
      <c r="A871" s="23">
        <v>45422.0</v>
      </c>
      <c r="B871" s="16" t="s">
        <v>2359</v>
      </c>
      <c r="C871" s="16" t="str">
        <f t="shared" si="1"/>
        <v>Ciudad De M√©Xico</v>
      </c>
      <c r="D871" s="16" t="str">
        <f t="shared" si="2"/>
        <v>Ciudad De M√©Xico</v>
      </c>
      <c r="E871" s="16" t="str">
        <f t="shared" si="3"/>
        <v>Ciudad De MéXico</v>
      </c>
      <c r="F871" s="16" t="s">
        <v>430</v>
      </c>
      <c r="G871" s="17" t="str">
        <f>IFERROR(__xludf.DUMMYFUNCTION("SPLIT(F871:F1870,""-"") "),"Teléfono")</f>
        <v>Teléfono</v>
      </c>
      <c r="H871" s="16" t="str">
        <f>IFERROR(__xludf.DUMMYFUNCTION("""COMPUTED_VALUE"""),"Gama alta")</f>
        <v>Gama alta</v>
      </c>
      <c r="I871" s="16" t="str">
        <f>IFERROR(__xludf.DUMMYFUNCTION("""COMPUTED_VALUE"""),"4GB")</f>
        <v>4GB</v>
      </c>
      <c r="J871" s="18">
        <v>613.16</v>
      </c>
      <c r="K871" s="16">
        <v>1.0</v>
      </c>
      <c r="L871" s="18">
        <v>613.16</v>
      </c>
      <c r="M871" s="16" t="s">
        <v>3047</v>
      </c>
      <c r="N871" s="16" t="s">
        <v>3048</v>
      </c>
      <c r="O871" s="16" t="s">
        <v>3049</v>
      </c>
    </row>
    <row r="872" ht="15.75" customHeight="1">
      <c r="A872" s="23">
        <v>45302.0</v>
      </c>
      <c r="B872" s="16" t="s">
        <v>75</v>
      </c>
      <c r="C872" s="16" t="str">
        <f t="shared" si="1"/>
        <v>Cali</v>
      </c>
      <c r="D872" s="16" t="str">
        <f t="shared" si="2"/>
        <v>Cali</v>
      </c>
      <c r="E872" s="16" t="str">
        <f t="shared" si="3"/>
        <v>Cali</v>
      </c>
      <c r="F872" s="16" t="s">
        <v>311</v>
      </c>
      <c r="G872" s="17" t="str">
        <f>IFERROR(__xludf.DUMMYFUNCTION("SPLIT(F872:F1871,""-"") "),"Laptop")</f>
        <v>Laptop</v>
      </c>
      <c r="H872" s="16" t="str">
        <f>IFERROR(__xludf.DUMMYFUNCTION("""COMPUTED_VALUE"""),"Ultraliviana")</f>
        <v>Ultraliviana</v>
      </c>
      <c r="I872" s="16" t="str">
        <f>IFERROR(__xludf.DUMMYFUNCTION("""COMPUTED_VALUE"""),"32GB")</f>
        <v>32GB</v>
      </c>
      <c r="J872" s="18">
        <v>1295.8</v>
      </c>
      <c r="K872" s="16">
        <v>1.0</v>
      </c>
      <c r="L872" s="18">
        <v>1295.8</v>
      </c>
      <c r="M872" s="16" t="s">
        <v>3050</v>
      </c>
      <c r="N872" s="16" t="s">
        <v>3051</v>
      </c>
      <c r="O872" s="16" t="s">
        <v>3052</v>
      </c>
    </row>
    <row r="873" ht="15.75" customHeight="1">
      <c r="A873" s="19">
        <v>45611.0</v>
      </c>
      <c r="B873" s="16" t="s">
        <v>35</v>
      </c>
      <c r="C873" s="16" t="str">
        <f t="shared" si="1"/>
        <v>Medellín</v>
      </c>
      <c r="D873" s="16" t="str">
        <f t="shared" si="2"/>
        <v>Medellín</v>
      </c>
      <c r="E873" s="16" t="str">
        <f t="shared" si="3"/>
        <v>Medellín</v>
      </c>
      <c r="F873" s="16" t="s">
        <v>54</v>
      </c>
      <c r="G873" s="17" t="str">
        <f>IFERROR(__xludf.DUMMYFUNCTION("SPLIT(F873:F1872,""-"") "),"Laptop")</f>
        <v>Laptop</v>
      </c>
      <c r="H873" s="16" t="str">
        <f>IFERROR(__xludf.DUMMYFUNCTION("""COMPUTED_VALUE"""),"Oficina")</f>
        <v>Oficina</v>
      </c>
      <c r="I873" s="16" t="str">
        <f>IFERROR(__xludf.DUMMYFUNCTION("""COMPUTED_VALUE"""),"8GB")</f>
        <v>8GB</v>
      </c>
      <c r="J873" s="18">
        <v>2040.92</v>
      </c>
      <c r="K873" s="16">
        <v>1.0</v>
      </c>
      <c r="L873" s="18">
        <v>2040.92</v>
      </c>
      <c r="M873" s="16" t="s">
        <v>1146</v>
      </c>
      <c r="N873" s="16" t="s">
        <v>1147</v>
      </c>
      <c r="O873" s="16" t="s">
        <v>1148</v>
      </c>
    </row>
    <row r="874" ht="15.75" customHeight="1">
      <c r="A874" s="19">
        <v>45612.0</v>
      </c>
      <c r="B874" s="16" t="s">
        <v>35</v>
      </c>
      <c r="C874" s="16" t="str">
        <f t="shared" si="1"/>
        <v>Medellín</v>
      </c>
      <c r="D874" s="16" t="str">
        <f t="shared" si="2"/>
        <v>Medellín</v>
      </c>
      <c r="E874" s="16" t="str">
        <f t="shared" si="3"/>
        <v>Medellín</v>
      </c>
      <c r="F874" s="16" t="s">
        <v>59</v>
      </c>
      <c r="G874" s="17" t="str">
        <f>IFERROR(__xludf.DUMMYFUNCTION("SPLIT(F874:F1873,""-"") "),"Auriculares")</f>
        <v>Auriculares</v>
      </c>
      <c r="H874" s="16" t="str">
        <f>IFERROR(__xludf.DUMMYFUNCTION("""COMPUTED_VALUE"""),"Bluetooth")</f>
        <v>Bluetooth</v>
      </c>
      <c r="I874" s="16" t="str">
        <f>IFERROR(__xludf.DUMMYFUNCTION("""COMPUTED_VALUE"""),"4GB")</f>
        <v>4GB</v>
      </c>
      <c r="J874" s="18">
        <v>1441.97</v>
      </c>
      <c r="K874" s="16">
        <v>3.0</v>
      </c>
      <c r="L874" s="18">
        <v>4325.91</v>
      </c>
      <c r="M874" s="16" t="s">
        <v>1188</v>
      </c>
      <c r="N874" s="16" t="s">
        <v>1189</v>
      </c>
      <c r="O874" s="16" t="s">
        <v>1190</v>
      </c>
    </row>
    <row r="875" ht="15.75" customHeight="1">
      <c r="A875" s="23">
        <v>45393.0</v>
      </c>
      <c r="B875" s="16" t="s">
        <v>58</v>
      </c>
      <c r="C875" s="16" t="str">
        <f t="shared" si="1"/>
        <v>Guadalajara</v>
      </c>
      <c r="D875" s="16" t="str">
        <f t="shared" si="2"/>
        <v>Guadalajara</v>
      </c>
      <c r="E875" s="16" t="str">
        <f t="shared" si="3"/>
        <v>Guadalajara</v>
      </c>
      <c r="F875" s="16" t="s">
        <v>163</v>
      </c>
      <c r="G875" s="17" t="str">
        <f>IFERROR(__xludf.DUMMYFUNCTION("SPLIT(F875:F1874,""-"") "),"Laptop")</f>
        <v>Laptop</v>
      </c>
      <c r="H875" s="16" t="str">
        <f>IFERROR(__xludf.DUMMYFUNCTION("""COMPUTED_VALUE"""),"Oficina")</f>
        <v>Oficina</v>
      </c>
      <c r="I875" s="16" t="str">
        <f>IFERROR(__xludf.DUMMYFUNCTION("""COMPUTED_VALUE"""),"32GB")</f>
        <v>32GB</v>
      </c>
      <c r="J875" s="18">
        <v>1081.59</v>
      </c>
      <c r="K875" s="16">
        <v>3.0</v>
      </c>
      <c r="L875" s="18">
        <v>3244.77</v>
      </c>
      <c r="M875" s="16" t="s">
        <v>3053</v>
      </c>
      <c r="N875" s="16" t="s">
        <v>3054</v>
      </c>
      <c r="O875" s="16" t="s">
        <v>3055</v>
      </c>
    </row>
    <row r="876" ht="15.75" customHeight="1">
      <c r="A876" s="19">
        <v>45589.0</v>
      </c>
      <c r="B876" s="16" t="s">
        <v>2359</v>
      </c>
      <c r="C876" s="16" t="str">
        <f t="shared" si="1"/>
        <v>Ciudad De M√©Xico</v>
      </c>
      <c r="D876" s="16" t="str">
        <f t="shared" si="2"/>
        <v>Ciudad De M√©Xico</v>
      </c>
      <c r="E876" s="16" t="str">
        <f t="shared" si="3"/>
        <v>Ciudad De MéXico</v>
      </c>
      <c r="F876" s="16" t="s">
        <v>272</v>
      </c>
      <c r="G876" s="17" t="str">
        <f>IFERROR(__xludf.DUMMYFUNCTION("SPLIT(F876:F1875,""-"") "),"Teléfono")</f>
        <v>Teléfono</v>
      </c>
      <c r="H876" s="16" t="str">
        <f>IFERROR(__xludf.DUMMYFUNCTION("""COMPUTED_VALUE"""),"Gama baja")</f>
        <v>Gama baja</v>
      </c>
      <c r="I876" s="16" t="str">
        <f>IFERROR(__xludf.DUMMYFUNCTION("""COMPUTED_VALUE"""),"32GB")</f>
        <v>32GB</v>
      </c>
      <c r="J876" s="18">
        <v>1901.74</v>
      </c>
      <c r="K876" s="16">
        <v>4.0</v>
      </c>
      <c r="L876" s="18">
        <v>7606.96</v>
      </c>
      <c r="M876" s="16" t="s">
        <v>611</v>
      </c>
      <c r="N876" s="16" t="s">
        <v>612</v>
      </c>
      <c r="O876" s="16" t="s">
        <v>613</v>
      </c>
    </row>
    <row r="877" ht="15.75" customHeight="1">
      <c r="A877" s="23">
        <v>45423.0</v>
      </c>
      <c r="B877" s="16" t="s">
        <v>2359</v>
      </c>
      <c r="C877" s="16" t="str">
        <f t="shared" si="1"/>
        <v>Ciudad De M√©Xico</v>
      </c>
      <c r="D877" s="16" t="str">
        <f t="shared" si="2"/>
        <v>Ciudad De M√©Xico</v>
      </c>
      <c r="E877" s="16" t="str">
        <f t="shared" si="3"/>
        <v>Ciudad De MéXico</v>
      </c>
      <c r="F877" s="16" t="s">
        <v>90</v>
      </c>
      <c r="G877" s="17" t="str">
        <f>IFERROR(__xludf.DUMMYFUNCTION("SPLIT(F877:F1876,""-"") "),"Laptop")</f>
        <v>Laptop</v>
      </c>
      <c r="H877" s="16" t="str">
        <f>IFERROR(__xludf.DUMMYFUNCTION("""COMPUTED_VALUE"""),"Gaming")</f>
        <v>Gaming</v>
      </c>
      <c r="I877" s="16" t="str">
        <f>IFERROR(__xludf.DUMMYFUNCTION("""COMPUTED_VALUE"""),"32GB")</f>
        <v>32GB</v>
      </c>
      <c r="J877" s="18">
        <v>231.5</v>
      </c>
      <c r="K877" s="16">
        <v>1.0</v>
      </c>
      <c r="L877" s="18">
        <v>231.5</v>
      </c>
      <c r="M877" s="16" t="s">
        <v>3056</v>
      </c>
      <c r="N877" s="16" t="s">
        <v>3057</v>
      </c>
      <c r="O877" s="16" t="s">
        <v>3058</v>
      </c>
    </row>
    <row r="878" ht="15.75" customHeight="1">
      <c r="A878" s="19">
        <v>45591.0</v>
      </c>
      <c r="B878" s="16" t="s">
        <v>75</v>
      </c>
      <c r="C878" s="16" t="str">
        <f t="shared" si="1"/>
        <v>Cali</v>
      </c>
      <c r="D878" s="16" t="str">
        <f t="shared" si="2"/>
        <v>Cali</v>
      </c>
      <c r="E878" s="16" t="str">
        <f t="shared" si="3"/>
        <v>Cali</v>
      </c>
      <c r="F878" s="16" t="s">
        <v>90</v>
      </c>
      <c r="G878" s="17" t="str">
        <f>IFERROR(__xludf.DUMMYFUNCTION("SPLIT(F878:F1877,""-"") "),"Laptop")</f>
        <v>Laptop</v>
      </c>
      <c r="H878" s="16" t="str">
        <f>IFERROR(__xludf.DUMMYFUNCTION("""COMPUTED_VALUE"""),"Gaming")</f>
        <v>Gaming</v>
      </c>
      <c r="I878" s="16" t="str">
        <f>IFERROR(__xludf.DUMMYFUNCTION("""COMPUTED_VALUE"""),"32GB")</f>
        <v>32GB</v>
      </c>
      <c r="J878" s="18">
        <v>724.28</v>
      </c>
      <c r="K878" s="16">
        <v>4.0</v>
      </c>
      <c r="L878" s="18">
        <v>2897.12</v>
      </c>
      <c r="M878" s="16" t="s">
        <v>663</v>
      </c>
      <c r="N878" s="16" t="s">
        <v>664</v>
      </c>
      <c r="O878" s="16" t="s">
        <v>665</v>
      </c>
    </row>
    <row r="879" ht="15.75" customHeight="1">
      <c r="A879" s="23">
        <v>45334.0</v>
      </c>
      <c r="B879" s="16" t="s">
        <v>35</v>
      </c>
      <c r="C879" s="16" t="str">
        <f t="shared" si="1"/>
        <v>Medellín</v>
      </c>
      <c r="D879" s="16" t="str">
        <f t="shared" si="2"/>
        <v>Medellín</v>
      </c>
      <c r="E879" s="16" t="str">
        <f t="shared" si="3"/>
        <v>Medellín</v>
      </c>
      <c r="F879" s="16" t="s">
        <v>10</v>
      </c>
      <c r="G879" s="17" t="str">
        <f>IFERROR(__xludf.DUMMYFUNCTION("SPLIT(F879:F1878,""-"") "),"Tablet")</f>
        <v>Tablet</v>
      </c>
      <c r="H879" s="16" t="str">
        <f>IFERROR(__xludf.DUMMYFUNCTION("""COMPUTED_VALUE"""),"Estándar")</f>
        <v>Estándar</v>
      </c>
      <c r="I879" s="16" t="str">
        <f>IFERROR(__xludf.DUMMYFUNCTION("""COMPUTED_VALUE"""),"8GB")</f>
        <v>8GB</v>
      </c>
      <c r="J879" s="18">
        <v>1796.72</v>
      </c>
      <c r="K879" s="16">
        <v>4.0</v>
      </c>
      <c r="L879" s="18">
        <v>7186.88</v>
      </c>
      <c r="M879" s="16" t="s">
        <v>3059</v>
      </c>
      <c r="N879" s="16" t="s">
        <v>3060</v>
      </c>
      <c r="O879" s="16" t="s">
        <v>3061</v>
      </c>
    </row>
    <row r="880" ht="15.75" customHeight="1">
      <c r="A880" s="19">
        <v>45646.0</v>
      </c>
      <c r="B880" s="16" t="s">
        <v>9</v>
      </c>
      <c r="C880" s="16" t="str">
        <f t="shared" si="1"/>
        <v>Monterrey</v>
      </c>
      <c r="D880" s="16" t="str">
        <f t="shared" si="2"/>
        <v>Monterrey</v>
      </c>
      <c r="E880" s="16" t="str">
        <f t="shared" si="3"/>
        <v>Monterrey</v>
      </c>
      <c r="F880" s="16" t="s">
        <v>182</v>
      </c>
      <c r="G880" s="17" t="str">
        <f>IFERROR(__xludf.DUMMYFUNCTION("SPLIT(F880:F1879,""-"") "),"Tablet")</f>
        <v>Tablet</v>
      </c>
      <c r="H880" s="16" t="str">
        <f>IFERROR(__xludf.DUMMYFUNCTION("""COMPUTED_VALUE"""),"Mini")</f>
        <v>Mini</v>
      </c>
      <c r="I880" s="16" t="str">
        <f>IFERROR(__xludf.DUMMYFUNCTION("""COMPUTED_VALUE"""),"4GB")</f>
        <v>4GB</v>
      </c>
      <c r="J880" s="18">
        <v>2086.91</v>
      </c>
      <c r="K880" s="16">
        <v>5.0</v>
      </c>
      <c r="L880" s="18">
        <v>10434.55</v>
      </c>
      <c r="M880" s="16" t="s">
        <v>2023</v>
      </c>
      <c r="N880" s="16" t="s">
        <v>2024</v>
      </c>
      <c r="O880" s="16" t="s">
        <v>2025</v>
      </c>
    </row>
    <row r="881" ht="15.75" customHeight="1">
      <c r="A881" s="19">
        <v>45625.0</v>
      </c>
      <c r="B881" s="16" t="s">
        <v>75</v>
      </c>
      <c r="C881" s="16" t="str">
        <f t="shared" si="1"/>
        <v>Cali</v>
      </c>
      <c r="D881" s="16" t="str">
        <f t="shared" si="2"/>
        <v>Cali</v>
      </c>
      <c r="E881" s="16" t="str">
        <f t="shared" si="3"/>
        <v>Cali</v>
      </c>
      <c r="F881" s="16" t="s">
        <v>255</v>
      </c>
      <c r="G881" s="17" t="str">
        <f>IFERROR(__xludf.DUMMYFUNCTION("SPLIT(F881:F1880,""-"") "),"Auriculares")</f>
        <v>Auriculares</v>
      </c>
      <c r="H881" s="16" t="str">
        <f>IFERROR(__xludf.DUMMYFUNCTION("""COMPUTED_VALUE"""),"Bluetooth")</f>
        <v>Bluetooth</v>
      </c>
      <c r="I881" s="16" t="str">
        <f>IFERROR(__xludf.DUMMYFUNCTION("""COMPUTED_VALUE"""),"8GB")</f>
        <v>8GB</v>
      </c>
      <c r="J881" s="18">
        <v>411.02</v>
      </c>
      <c r="K881" s="16">
        <v>1.0</v>
      </c>
      <c r="L881" s="18">
        <v>411.02</v>
      </c>
      <c r="M881" s="16" t="s">
        <v>1605</v>
      </c>
      <c r="N881" s="16" t="s">
        <v>1606</v>
      </c>
      <c r="O881" s="16" t="s">
        <v>1607</v>
      </c>
    </row>
    <row r="882" ht="15.75" customHeight="1">
      <c r="A882" s="23">
        <v>45455.0</v>
      </c>
      <c r="B882" s="16" t="s">
        <v>2359</v>
      </c>
      <c r="C882" s="16" t="str">
        <f t="shared" si="1"/>
        <v>Ciudad De M√©Xico</v>
      </c>
      <c r="D882" s="16" t="str">
        <f t="shared" si="2"/>
        <v>Ciudad De M√©Xico</v>
      </c>
      <c r="E882" s="16" t="str">
        <f t="shared" si="3"/>
        <v>Ciudad De MéXico</v>
      </c>
      <c r="F882" s="16" t="s">
        <v>272</v>
      </c>
      <c r="G882" s="17" t="str">
        <f>IFERROR(__xludf.DUMMYFUNCTION("SPLIT(F882:F1881,""-"") "),"Teléfono")</f>
        <v>Teléfono</v>
      </c>
      <c r="H882" s="16" t="str">
        <f>IFERROR(__xludf.DUMMYFUNCTION("""COMPUTED_VALUE"""),"Gama baja")</f>
        <v>Gama baja</v>
      </c>
      <c r="I882" s="16" t="str">
        <f>IFERROR(__xludf.DUMMYFUNCTION("""COMPUTED_VALUE"""),"32GB")</f>
        <v>32GB</v>
      </c>
      <c r="J882" s="18">
        <v>1064.4</v>
      </c>
      <c r="K882" s="16">
        <v>3.0</v>
      </c>
      <c r="L882" s="18">
        <v>3193.2</v>
      </c>
      <c r="M882" s="16" t="s">
        <v>3062</v>
      </c>
      <c r="N882" s="16" t="s">
        <v>3063</v>
      </c>
      <c r="O882" s="16" t="s">
        <v>3064</v>
      </c>
    </row>
    <row r="883" ht="15.75" customHeight="1">
      <c r="A883" s="23">
        <v>45454.0</v>
      </c>
      <c r="B883" s="16" t="s">
        <v>9</v>
      </c>
      <c r="C883" s="16" t="str">
        <f t="shared" si="1"/>
        <v>Monterrey</v>
      </c>
      <c r="D883" s="16" t="str">
        <f t="shared" si="2"/>
        <v>Monterrey</v>
      </c>
      <c r="E883" s="16" t="str">
        <f t="shared" si="3"/>
        <v>Monterrey</v>
      </c>
      <c r="F883" s="16" t="s">
        <v>190</v>
      </c>
      <c r="G883" s="17" t="str">
        <f>IFERROR(__xludf.DUMMYFUNCTION("SPLIT(F883:F1882,""-"") "),"Laptop")</f>
        <v>Laptop</v>
      </c>
      <c r="H883" s="16" t="str">
        <f>IFERROR(__xludf.DUMMYFUNCTION("""COMPUTED_VALUE"""),"Ultraliviana")</f>
        <v>Ultraliviana</v>
      </c>
      <c r="I883" s="16" t="str">
        <f>IFERROR(__xludf.DUMMYFUNCTION("""COMPUTED_VALUE"""),"16GB")</f>
        <v>16GB</v>
      </c>
      <c r="J883" s="18">
        <v>1381.5</v>
      </c>
      <c r="K883" s="16">
        <v>5.0</v>
      </c>
      <c r="L883" s="18">
        <v>6907.5</v>
      </c>
      <c r="M883" s="16" t="s">
        <v>3065</v>
      </c>
      <c r="N883" s="16" t="s">
        <v>3066</v>
      </c>
      <c r="O883" s="16" t="s">
        <v>3067</v>
      </c>
    </row>
    <row r="884" ht="15.75" customHeight="1">
      <c r="A884" s="19">
        <v>45595.0</v>
      </c>
      <c r="B884" s="16" t="s">
        <v>35</v>
      </c>
      <c r="C884" s="16" t="str">
        <f t="shared" si="1"/>
        <v>Medellín</v>
      </c>
      <c r="D884" s="16" t="str">
        <f t="shared" si="2"/>
        <v>Medellín</v>
      </c>
      <c r="E884" s="16" t="str">
        <f t="shared" si="3"/>
        <v>Medellín</v>
      </c>
      <c r="F884" s="16" t="s">
        <v>59</v>
      </c>
      <c r="G884" s="17" t="str">
        <f>IFERROR(__xludf.DUMMYFUNCTION("SPLIT(F884:F1883,""-"") "),"Auriculares")</f>
        <v>Auriculares</v>
      </c>
      <c r="H884" s="16" t="str">
        <f>IFERROR(__xludf.DUMMYFUNCTION("""COMPUTED_VALUE"""),"Bluetooth")</f>
        <v>Bluetooth</v>
      </c>
      <c r="I884" s="16" t="str">
        <f>IFERROR(__xludf.DUMMYFUNCTION("""COMPUTED_VALUE"""),"4GB")</f>
        <v>4GB</v>
      </c>
      <c r="J884" s="18">
        <v>201.31</v>
      </c>
      <c r="K884" s="16">
        <v>5.0</v>
      </c>
      <c r="L884" s="18">
        <v>1006.55</v>
      </c>
      <c r="M884" s="16" t="s">
        <v>778</v>
      </c>
      <c r="N884" s="16" t="s">
        <v>779</v>
      </c>
      <c r="O884" s="16" t="s">
        <v>780</v>
      </c>
    </row>
    <row r="885" ht="15.75" customHeight="1">
      <c r="A885" s="23">
        <v>45394.0</v>
      </c>
      <c r="B885" s="16" t="s">
        <v>9</v>
      </c>
      <c r="C885" s="16" t="str">
        <f t="shared" si="1"/>
        <v>Monterrey</v>
      </c>
      <c r="D885" s="16" t="str">
        <f t="shared" si="2"/>
        <v>Monterrey</v>
      </c>
      <c r="E885" s="16" t="str">
        <f t="shared" si="3"/>
        <v>Monterrey</v>
      </c>
      <c r="F885" s="16" t="s">
        <v>430</v>
      </c>
      <c r="G885" s="17" t="str">
        <f>IFERROR(__xludf.DUMMYFUNCTION("SPLIT(F885:F1884,""-"") "),"Teléfono")</f>
        <v>Teléfono</v>
      </c>
      <c r="H885" s="16" t="str">
        <f>IFERROR(__xludf.DUMMYFUNCTION("""COMPUTED_VALUE"""),"Gama alta")</f>
        <v>Gama alta</v>
      </c>
      <c r="I885" s="16" t="str">
        <f>IFERROR(__xludf.DUMMYFUNCTION("""COMPUTED_VALUE"""),"4GB")</f>
        <v>4GB</v>
      </c>
      <c r="J885" s="18">
        <v>1083.12</v>
      </c>
      <c r="K885" s="16">
        <v>1.0</v>
      </c>
      <c r="L885" s="18">
        <v>1083.12</v>
      </c>
      <c r="M885" s="16" t="s">
        <v>3068</v>
      </c>
      <c r="N885" s="16" t="s">
        <v>3069</v>
      </c>
      <c r="O885" s="16" t="s">
        <v>3070</v>
      </c>
    </row>
    <row r="886" ht="15.75" customHeight="1">
      <c r="A886" s="23">
        <v>45636.0</v>
      </c>
      <c r="B886" s="16" t="s">
        <v>58</v>
      </c>
      <c r="C886" s="16" t="str">
        <f t="shared" si="1"/>
        <v>Guadalajara</v>
      </c>
      <c r="D886" s="16" t="str">
        <f t="shared" si="2"/>
        <v>Guadalajara</v>
      </c>
      <c r="E886" s="16" t="str">
        <f t="shared" si="3"/>
        <v>Guadalajara</v>
      </c>
      <c r="F886" s="16" t="s">
        <v>190</v>
      </c>
      <c r="G886" s="17" t="str">
        <f>IFERROR(__xludf.DUMMYFUNCTION("SPLIT(F886:F1885,""-"") "),"Laptop")</f>
        <v>Laptop</v>
      </c>
      <c r="H886" s="16" t="str">
        <f>IFERROR(__xludf.DUMMYFUNCTION("""COMPUTED_VALUE"""),"Ultraliviana")</f>
        <v>Ultraliviana</v>
      </c>
      <c r="I886" s="16" t="str">
        <f>IFERROR(__xludf.DUMMYFUNCTION("""COMPUTED_VALUE"""),"16GB")</f>
        <v>16GB</v>
      </c>
      <c r="J886" s="18">
        <v>1969.69</v>
      </c>
      <c r="K886" s="16">
        <v>4.0</v>
      </c>
      <c r="L886" s="18">
        <v>7878.76</v>
      </c>
      <c r="M886" s="16" t="s">
        <v>1751</v>
      </c>
      <c r="N886" s="16" t="s">
        <v>1752</v>
      </c>
      <c r="O886" s="16" t="s">
        <v>1753</v>
      </c>
    </row>
    <row r="887" ht="15.75" customHeight="1">
      <c r="A887" s="23">
        <v>45607.0</v>
      </c>
      <c r="B887" s="16" t="s">
        <v>14</v>
      </c>
      <c r="C887" s="16" t="str">
        <f t="shared" si="1"/>
        <v>Bogotá</v>
      </c>
      <c r="D887" s="16" t="str">
        <f t="shared" si="2"/>
        <v>Bogotá</v>
      </c>
      <c r="E887" s="16" t="str">
        <f t="shared" si="3"/>
        <v>Bogotá</v>
      </c>
      <c r="F887" s="16" t="s">
        <v>139</v>
      </c>
      <c r="G887" s="17" t="str">
        <f>IFERROR(__xludf.DUMMYFUNCTION("SPLIT(F887:F1886,""-"") "),"Auriculares")</f>
        <v>Auriculares</v>
      </c>
      <c r="H887" s="16" t="str">
        <f>IFERROR(__xludf.DUMMYFUNCTION("""COMPUTED_VALUE"""),"Con cable")</f>
        <v>Con cable</v>
      </c>
      <c r="I887" s="16" t="str">
        <f>IFERROR(__xludf.DUMMYFUNCTION("""COMPUTED_VALUE"""),"16GB")</f>
        <v>16GB</v>
      </c>
      <c r="J887" s="18">
        <v>2498.64</v>
      </c>
      <c r="K887" s="16">
        <v>2.0</v>
      </c>
      <c r="L887" s="18">
        <v>4997.28</v>
      </c>
      <c r="M887" s="16" t="s">
        <v>996</v>
      </c>
      <c r="N887" s="16" t="s">
        <v>997</v>
      </c>
      <c r="O887" s="16" t="s">
        <v>998</v>
      </c>
    </row>
    <row r="888" ht="15.75" customHeight="1">
      <c r="A888" s="19">
        <v>45653.0</v>
      </c>
      <c r="B888" s="16" t="s">
        <v>9</v>
      </c>
      <c r="C888" s="16" t="str">
        <f t="shared" si="1"/>
        <v>Monterrey</v>
      </c>
      <c r="D888" s="16" t="str">
        <f t="shared" si="2"/>
        <v>Monterrey</v>
      </c>
      <c r="E888" s="16" t="str">
        <f t="shared" si="3"/>
        <v>Monterrey</v>
      </c>
      <c r="F888" s="16" t="s">
        <v>81</v>
      </c>
      <c r="G888" s="17" t="str">
        <f>IFERROR(__xludf.DUMMYFUNCTION("SPLIT(F888:F1887,""-"") "),"Laptop")</f>
        <v>Laptop</v>
      </c>
      <c r="H888" s="16" t="str">
        <f>IFERROR(__xludf.DUMMYFUNCTION("""COMPUTED_VALUE"""),"Oficina")</f>
        <v>Oficina</v>
      </c>
      <c r="I888" s="16" t="str">
        <f>IFERROR(__xludf.DUMMYFUNCTION("""COMPUTED_VALUE"""),"16GB")</f>
        <v>16GB</v>
      </c>
      <c r="J888" s="18">
        <v>314.84</v>
      </c>
      <c r="K888" s="16">
        <v>1.0</v>
      </c>
      <c r="L888" s="18">
        <v>314.84</v>
      </c>
      <c r="M888" s="16" t="s">
        <v>2228</v>
      </c>
      <c r="N888" s="16" t="s">
        <v>2229</v>
      </c>
      <c r="O888" s="16" t="s">
        <v>2230</v>
      </c>
    </row>
    <row r="889" ht="15.75" customHeight="1">
      <c r="A889" s="23">
        <v>45393.0</v>
      </c>
      <c r="B889" s="16" t="s">
        <v>75</v>
      </c>
      <c r="C889" s="16" t="str">
        <f t="shared" si="1"/>
        <v>Cali</v>
      </c>
      <c r="D889" s="16" t="str">
        <f t="shared" si="2"/>
        <v>Cali</v>
      </c>
      <c r="E889" s="16" t="str">
        <f t="shared" si="3"/>
        <v>Cali</v>
      </c>
      <c r="F889" s="16" t="s">
        <v>369</v>
      </c>
      <c r="G889" s="17" t="str">
        <f>IFERROR(__xludf.DUMMYFUNCTION("SPLIT(F889:F1888,""-"") "),"Auriculares")</f>
        <v>Auriculares</v>
      </c>
      <c r="H889" s="16" t="str">
        <f>IFERROR(__xludf.DUMMYFUNCTION("""COMPUTED_VALUE"""),"Con cable")</f>
        <v>Con cable</v>
      </c>
      <c r="I889" s="16" t="str">
        <f>IFERROR(__xludf.DUMMYFUNCTION("""COMPUTED_VALUE"""),"4GB")</f>
        <v>4GB</v>
      </c>
      <c r="J889" s="18">
        <v>752.58</v>
      </c>
      <c r="K889" s="16">
        <v>2.0</v>
      </c>
      <c r="L889" s="18">
        <v>1505.16</v>
      </c>
      <c r="M889" s="16" t="s">
        <v>3071</v>
      </c>
      <c r="N889" s="16" t="s">
        <v>3072</v>
      </c>
      <c r="O889" s="16" t="s">
        <v>3073</v>
      </c>
    </row>
    <row r="890" ht="15.75" customHeight="1">
      <c r="A890" s="19">
        <v>45640.0</v>
      </c>
      <c r="B890" s="16" t="s">
        <v>1842</v>
      </c>
      <c r="C890" s="16" t="str">
        <f t="shared" si="1"/>
        <v>    Monterrey</v>
      </c>
      <c r="D890" s="16" t="str">
        <f t="shared" si="2"/>
        <v>Monterrey</v>
      </c>
      <c r="E890" s="16" t="str">
        <f t="shared" si="3"/>
        <v>Monterrey</v>
      </c>
      <c r="F890" s="16" t="s">
        <v>15</v>
      </c>
      <c r="G890" s="17" t="str">
        <f>IFERROR(__xludf.DUMMYFUNCTION("SPLIT(F890:F1889,""-"") "),"Auriculares")</f>
        <v>Auriculares</v>
      </c>
      <c r="H890" s="16" t="str">
        <f>IFERROR(__xludf.DUMMYFUNCTION("""COMPUTED_VALUE"""),"Con cable")</f>
        <v>Con cable</v>
      </c>
      <c r="I890" s="16" t="str">
        <f>IFERROR(__xludf.DUMMYFUNCTION("""COMPUTED_VALUE"""),"32GB")</f>
        <v>32GB</v>
      </c>
      <c r="J890" s="18">
        <v>2389.97</v>
      </c>
      <c r="K890" s="16">
        <v>3.0</v>
      </c>
      <c r="L890" s="18">
        <v>7169.91</v>
      </c>
      <c r="M890" s="16" t="s">
        <v>1843</v>
      </c>
      <c r="N890" s="16" t="s">
        <v>1844</v>
      </c>
      <c r="O890" s="16" t="s">
        <v>1845</v>
      </c>
    </row>
    <row r="891" ht="15.75" customHeight="1">
      <c r="A891" s="23">
        <v>45516.0</v>
      </c>
      <c r="B891" s="16" t="s">
        <v>35</v>
      </c>
      <c r="C891" s="16" t="str">
        <f t="shared" si="1"/>
        <v>Medellín</v>
      </c>
      <c r="D891" s="16" t="str">
        <f t="shared" si="2"/>
        <v>Medellín</v>
      </c>
      <c r="E891" s="16" t="str">
        <f t="shared" si="3"/>
        <v>Medellín</v>
      </c>
      <c r="F891" s="16" t="s">
        <v>132</v>
      </c>
      <c r="G891" s="17" t="str">
        <f>IFERROR(__xludf.DUMMYFUNCTION("SPLIT(F891:F1890,""-"") "),"Tablet")</f>
        <v>Tablet</v>
      </c>
      <c r="H891" s="16" t="str">
        <f>IFERROR(__xludf.DUMMYFUNCTION("""COMPUTED_VALUE"""),"Pro")</f>
        <v>Pro</v>
      </c>
      <c r="I891" s="16" t="str">
        <f>IFERROR(__xludf.DUMMYFUNCTION("""COMPUTED_VALUE"""),"8GB")</f>
        <v>8GB</v>
      </c>
      <c r="J891" s="18">
        <v>2374.3</v>
      </c>
      <c r="K891" s="16">
        <v>1.0</v>
      </c>
      <c r="L891" s="18">
        <v>2374.3</v>
      </c>
      <c r="M891" s="16" t="s">
        <v>3074</v>
      </c>
      <c r="N891" s="16" t="s">
        <v>3075</v>
      </c>
      <c r="O891" s="16" t="s">
        <v>3076</v>
      </c>
    </row>
    <row r="892" ht="15.75" customHeight="1">
      <c r="A892" s="23">
        <v>45392.0</v>
      </c>
      <c r="B892" s="16" t="s">
        <v>75</v>
      </c>
      <c r="C892" s="16" t="str">
        <f t="shared" si="1"/>
        <v>Cali</v>
      </c>
      <c r="D892" s="16" t="str">
        <f t="shared" si="2"/>
        <v>Cali</v>
      </c>
      <c r="E892" s="16" t="str">
        <f t="shared" si="3"/>
        <v>Cali</v>
      </c>
      <c r="F892" s="16" t="s">
        <v>10</v>
      </c>
      <c r="G892" s="17" t="str">
        <f>IFERROR(__xludf.DUMMYFUNCTION("SPLIT(F892:F1891,""-"") "),"Tablet")</f>
        <v>Tablet</v>
      </c>
      <c r="H892" s="16" t="str">
        <f>IFERROR(__xludf.DUMMYFUNCTION("""COMPUTED_VALUE"""),"Estándar")</f>
        <v>Estándar</v>
      </c>
      <c r="I892" s="16" t="str">
        <f>IFERROR(__xludf.DUMMYFUNCTION("""COMPUTED_VALUE"""),"8GB")</f>
        <v>8GB</v>
      </c>
      <c r="J892" s="18">
        <v>532.35</v>
      </c>
      <c r="K892" s="16">
        <v>3.0</v>
      </c>
      <c r="L892" s="18">
        <v>1597.05</v>
      </c>
      <c r="M892" s="16" t="s">
        <v>3077</v>
      </c>
      <c r="N892" s="16" t="s">
        <v>3078</v>
      </c>
      <c r="O892" s="16" t="s">
        <v>3079</v>
      </c>
    </row>
    <row r="893" ht="15.75" customHeight="1">
      <c r="A893" s="23">
        <v>45424.0</v>
      </c>
      <c r="B893" s="16" t="s">
        <v>2359</v>
      </c>
      <c r="C893" s="16" t="str">
        <f t="shared" si="1"/>
        <v>Ciudad De M√©Xico</v>
      </c>
      <c r="D893" s="16" t="str">
        <f t="shared" si="2"/>
        <v>Ciudad De M√©Xico</v>
      </c>
      <c r="E893" s="16" t="str">
        <f t="shared" si="3"/>
        <v>Ciudad De MéXico</v>
      </c>
      <c r="F893" s="16" t="s">
        <v>233</v>
      </c>
      <c r="G893" s="17" t="str">
        <f>IFERROR(__xludf.DUMMYFUNCTION("SPLIT(F893:F1892,""-"") "),"Tablet")</f>
        <v>Tablet</v>
      </c>
      <c r="H893" s="16" t="str">
        <f>IFERROR(__xludf.DUMMYFUNCTION("""COMPUTED_VALUE"""),"Mini")</f>
        <v>Mini</v>
      </c>
      <c r="I893" s="16" t="str">
        <f>IFERROR(__xludf.DUMMYFUNCTION("""COMPUTED_VALUE"""),"16GB")</f>
        <v>16GB</v>
      </c>
      <c r="J893" s="18">
        <v>1490.14</v>
      </c>
      <c r="K893" s="16">
        <v>1.0</v>
      </c>
      <c r="L893" s="18">
        <v>1490.14</v>
      </c>
      <c r="M893" s="16" t="s">
        <v>3080</v>
      </c>
      <c r="N893" s="16" t="s">
        <v>3081</v>
      </c>
      <c r="O893" s="16" t="s">
        <v>3082</v>
      </c>
    </row>
    <row r="894" ht="15.75" customHeight="1">
      <c r="A894" s="19">
        <v>45621.0</v>
      </c>
      <c r="B894" s="16" t="s">
        <v>14</v>
      </c>
      <c r="C894" s="16" t="str">
        <f t="shared" si="1"/>
        <v>Bogotá</v>
      </c>
      <c r="D894" s="16" t="str">
        <f t="shared" si="2"/>
        <v>Bogotá</v>
      </c>
      <c r="E894" s="16" t="str">
        <f t="shared" si="3"/>
        <v>Bogotá</v>
      </c>
      <c r="F894" s="16" t="s">
        <v>171</v>
      </c>
      <c r="G894" s="17" t="str">
        <f>IFERROR(__xludf.DUMMYFUNCTION("SPLIT(F894:F1893,""-"") "),"Teléfono")</f>
        <v>Teléfono</v>
      </c>
      <c r="H894" s="16" t="str">
        <f>IFERROR(__xludf.DUMMYFUNCTION("""COMPUTED_VALUE"""),"Gama baja")</f>
        <v>Gama baja</v>
      </c>
      <c r="I894" s="16" t="str">
        <f>IFERROR(__xludf.DUMMYFUNCTION("""COMPUTED_VALUE"""),"4GB")</f>
        <v>4GB</v>
      </c>
      <c r="J894" s="18">
        <v>1390.26</v>
      </c>
      <c r="K894" s="16">
        <v>1.0</v>
      </c>
      <c r="L894" s="18">
        <v>1390.26</v>
      </c>
      <c r="M894" s="16" t="s">
        <v>1499</v>
      </c>
      <c r="N894" s="16" t="s">
        <v>1500</v>
      </c>
      <c r="O894" s="16" t="s">
        <v>1501</v>
      </c>
    </row>
    <row r="895" ht="15.75" customHeight="1">
      <c r="A895" s="19">
        <v>45639.0</v>
      </c>
      <c r="B895" s="16" t="s">
        <v>14</v>
      </c>
      <c r="C895" s="16" t="str">
        <f t="shared" si="1"/>
        <v>Bogotá</v>
      </c>
      <c r="D895" s="16" t="str">
        <f t="shared" si="2"/>
        <v>Bogotá</v>
      </c>
      <c r="E895" s="16" t="str">
        <f t="shared" si="3"/>
        <v>Bogotá</v>
      </c>
      <c r="F895" s="16" t="s">
        <v>292</v>
      </c>
      <c r="G895" s="17" t="str">
        <f>IFERROR(__xludf.DUMMYFUNCTION("SPLIT(F895:F1894,""-"") "),"Teléfono")</f>
        <v>Teléfono</v>
      </c>
      <c r="H895" s="16" t="str">
        <f>IFERROR(__xludf.DUMMYFUNCTION("""COMPUTED_VALUE"""),"Gama alta")</f>
        <v>Gama alta</v>
      </c>
      <c r="I895" s="16" t="str">
        <f>IFERROR(__xludf.DUMMYFUNCTION("""COMPUTED_VALUE"""),"16GB")</f>
        <v>16GB</v>
      </c>
      <c r="J895" s="18">
        <v>494.57</v>
      </c>
      <c r="K895" s="16">
        <v>1.0</v>
      </c>
      <c r="L895" s="18">
        <v>494.57</v>
      </c>
      <c r="M895" s="16" t="s">
        <v>1818</v>
      </c>
      <c r="N895" s="16" t="s">
        <v>1819</v>
      </c>
      <c r="O895" s="16" t="s">
        <v>1820</v>
      </c>
    </row>
    <row r="896" ht="15.75" customHeight="1">
      <c r="A896" s="19">
        <v>45588.0</v>
      </c>
      <c r="B896" s="16" t="s">
        <v>58</v>
      </c>
      <c r="C896" s="16" t="str">
        <f t="shared" si="1"/>
        <v>Guadalajara</v>
      </c>
      <c r="D896" s="16" t="str">
        <f t="shared" si="2"/>
        <v>Guadalajara</v>
      </c>
      <c r="E896" s="16" t="str">
        <f t="shared" si="3"/>
        <v>Guadalajara</v>
      </c>
      <c r="F896" s="16" t="s">
        <v>31</v>
      </c>
      <c r="G896" s="17" t="str">
        <f>IFERROR(__xludf.DUMMYFUNCTION("SPLIT(F896:F1895,""-"") "),"Teléfono")</f>
        <v>Teléfono</v>
      </c>
      <c r="H896" s="16" t="str">
        <f>IFERROR(__xludf.DUMMYFUNCTION("""COMPUTED_VALUE"""),"Gama alta")</f>
        <v>Gama alta</v>
      </c>
      <c r="I896" s="16" t="str">
        <f>IFERROR(__xludf.DUMMYFUNCTION("""COMPUTED_VALUE"""),"32GB")</f>
        <v>32GB</v>
      </c>
      <c r="J896" s="18">
        <v>1582.73</v>
      </c>
      <c r="K896" s="16">
        <v>2.0</v>
      </c>
      <c r="L896" s="18">
        <v>3165.46</v>
      </c>
      <c r="M896" s="16" t="s">
        <v>568</v>
      </c>
      <c r="N896" s="16" t="s">
        <v>569</v>
      </c>
      <c r="O896" s="16" t="s">
        <v>570</v>
      </c>
    </row>
    <row r="897" ht="15.75" customHeight="1">
      <c r="A897" s="23">
        <v>45608.0</v>
      </c>
      <c r="B897" s="16" t="s">
        <v>58</v>
      </c>
      <c r="C897" s="16" t="str">
        <f t="shared" si="1"/>
        <v>Guadalajara</v>
      </c>
      <c r="D897" s="16" t="str">
        <f t="shared" si="2"/>
        <v>Guadalajara</v>
      </c>
      <c r="E897" s="16" t="str">
        <f t="shared" si="3"/>
        <v>Guadalajara</v>
      </c>
      <c r="F897" s="16" t="s">
        <v>233</v>
      </c>
      <c r="G897" s="17" t="str">
        <f>IFERROR(__xludf.DUMMYFUNCTION("SPLIT(F897:F1896,""-"") "),"Tablet")</f>
        <v>Tablet</v>
      </c>
      <c r="H897" s="16" t="str">
        <f>IFERROR(__xludf.DUMMYFUNCTION("""COMPUTED_VALUE"""),"Mini")</f>
        <v>Mini</v>
      </c>
      <c r="I897" s="16" t="str">
        <f>IFERROR(__xludf.DUMMYFUNCTION("""COMPUTED_VALUE"""),"16GB")</f>
        <v>16GB</v>
      </c>
      <c r="J897" s="18">
        <v>812.41</v>
      </c>
      <c r="K897" s="16">
        <v>5.0</v>
      </c>
      <c r="L897" s="18">
        <v>4062.05</v>
      </c>
      <c r="M897" s="16" t="s">
        <v>1030</v>
      </c>
      <c r="N897" s="16" t="s">
        <v>1031</v>
      </c>
      <c r="O897" s="16" t="s">
        <v>1032</v>
      </c>
    </row>
    <row r="898" ht="15.75" customHeight="1">
      <c r="A898" s="19">
        <v>45645.0</v>
      </c>
      <c r="B898" s="16" t="s">
        <v>9</v>
      </c>
      <c r="C898" s="16" t="str">
        <f t="shared" si="1"/>
        <v>Monterrey</v>
      </c>
      <c r="D898" s="16" t="str">
        <f t="shared" si="2"/>
        <v>Monterrey</v>
      </c>
      <c r="E898" s="16" t="str">
        <f t="shared" si="3"/>
        <v>Monterrey</v>
      </c>
      <c r="F898" s="16" t="s">
        <v>117</v>
      </c>
      <c r="G898" s="17" t="str">
        <f>IFERROR(__xludf.DUMMYFUNCTION("SPLIT(F898:F1897,""-"") "),"Teléfono")</f>
        <v>Teléfono</v>
      </c>
      <c r="H898" s="16" t="str">
        <f>IFERROR(__xludf.DUMMYFUNCTION("""COMPUTED_VALUE"""),"Gama baja")</f>
        <v>Gama baja</v>
      </c>
      <c r="I898" s="16" t="str">
        <f>IFERROR(__xludf.DUMMYFUNCTION("""COMPUTED_VALUE"""),"16GB")</f>
        <v>16GB</v>
      </c>
      <c r="J898" s="18">
        <v>432.18</v>
      </c>
      <c r="K898" s="16">
        <v>1.0</v>
      </c>
      <c r="L898" s="18">
        <v>432.18</v>
      </c>
      <c r="M898" s="16" t="s">
        <v>2002</v>
      </c>
      <c r="N898" s="16" t="s">
        <v>2003</v>
      </c>
      <c r="O898" s="16" t="s">
        <v>2004</v>
      </c>
    </row>
    <row r="899" ht="15.75" customHeight="1">
      <c r="A899" s="23">
        <v>45637.0</v>
      </c>
      <c r="B899" s="16" t="s">
        <v>2359</v>
      </c>
      <c r="C899" s="16" t="str">
        <f t="shared" si="1"/>
        <v>Ciudad De M√©Xico</v>
      </c>
      <c r="D899" s="16" t="str">
        <f t="shared" si="2"/>
        <v>Ciudad De M√©Xico</v>
      </c>
      <c r="E899" s="16" t="str">
        <f t="shared" si="3"/>
        <v>Ciudad De MéXico</v>
      </c>
      <c r="F899" s="16" t="s">
        <v>171</v>
      </c>
      <c r="G899" s="17" t="str">
        <f>IFERROR(__xludf.DUMMYFUNCTION("SPLIT(F899:F1898,""-"") "),"Teléfono")</f>
        <v>Teléfono</v>
      </c>
      <c r="H899" s="16" t="str">
        <f>IFERROR(__xludf.DUMMYFUNCTION("""COMPUTED_VALUE"""),"Gama baja")</f>
        <v>Gama baja</v>
      </c>
      <c r="I899" s="16" t="str">
        <f>IFERROR(__xludf.DUMMYFUNCTION("""COMPUTED_VALUE"""),"4GB")</f>
        <v>4GB</v>
      </c>
      <c r="J899" s="18">
        <v>1603.02</v>
      </c>
      <c r="K899" s="16">
        <v>4.0</v>
      </c>
      <c r="L899" s="18">
        <v>6412.08</v>
      </c>
      <c r="M899" s="16" t="s">
        <v>1781</v>
      </c>
      <c r="N899" s="16" t="s">
        <v>1782</v>
      </c>
      <c r="O899" s="16" t="s">
        <v>1783</v>
      </c>
    </row>
    <row r="900" ht="15.75" customHeight="1">
      <c r="A900" s="19">
        <v>45656.0</v>
      </c>
      <c r="B900" s="16" t="s">
        <v>9</v>
      </c>
      <c r="C900" s="16" t="str">
        <f t="shared" si="1"/>
        <v>Monterrey</v>
      </c>
      <c r="D900" s="16" t="str">
        <f t="shared" si="2"/>
        <v>Monterrey</v>
      </c>
      <c r="E900" s="16" t="str">
        <f t="shared" si="3"/>
        <v>Monterrey</v>
      </c>
      <c r="F900" s="16" t="s">
        <v>81</v>
      </c>
      <c r="G900" s="17" t="str">
        <f>IFERROR(__xludf.DUMMYFUNCTION("SPLIT(F900:F1899,""-"") "),"Laptop")</f>
        <v>Laptop</v>
      </c>
      <c r="H900" s="16" t="str">
        <f>IFERROR(__xludf.DUMMYFUNCTION("""COMPUTED_VALUE"""),"Oficina")</f>
        <v>Oficina</v>
      </c>
      <c r="I900" s="16" t="str">
        <f>IFERROR(__xludf.DUMMYFUNCTION("""COMPUTED_VALUE"""),"16GB")</f>
        <v>16GB</v>
      </c>
      <c r="J900" s="18">
        <v>2019.54</v>
      </c>
      <c r="K900" s="16">
        <v>3.0</v>
      </c>
      <c r="L900" s="18">
        <v>6058.62</v>
      </c>
      <c r="M900" s="16" t="s">
        <v>2327</v>
      </c>
      <c r="N900" s="16" t="s">
        <v>2328</v>
      </c>
      <c r="O900" s="16" t="s">
        <v>2329</v>
      </c>
    </row>
    <row r="901" ht="15.75" customHeight="1">
      <c r="A901" s="19">
        <v>45580.0</v>
      </c>
      <c r="B901" s="16" t="s">
        <v>35</v>
      </c>
      <c r="C901" s="16" t="str">
        <f t="shared" si="1"/>
        <v>Medellín</v>
      </c>
      <c r="D901" s="16" t="str">
        <f t="shared" si="2"/>
        <v>Medellín</v>
      </c>
      <c r="E901" s="16" t="str">
        <f t="shared" si="3"/>
        <v>Medellín</v>
      </c>
      <c r="F901" s="16" t="s">
        <v>67</v>
      </c>
      <c r="G901" s="17" t="str">
        <f>IFERROR(__xludf.DUMMYFUNCTION("SPLIT(F901:F1900,""-"") "),"Tablet")</f>
        <v>Tablet</v>
      </c>
      <c r="H901" s="16" t="str">
        <f>IFERROR(__xludf.DUMMYFUNCTION("""COMPUTED_VALUE"""),"Estándar")</f>
        <v>Estándar</v>
      </c>
      <c r="I901" s="16" t="str">
        <f>IFERROR(__xludf.DUMMYFUNCTION("""COMPUTED_VALUE"""),"4GB")</f>
        <v>4GB</v>
      </c>
      <c r="J901" s="18">
        <v>1896.1</v>
      </c>
      <c r="K901" s="16">
        <v>2.0</v>
      </c>
      <c r="L901" s="18">
        <v>3792.2</v>
      </c>
      <c r="M901" s="16" t="s">
        <v>305</v>
      </c>
      <c r="N901" s="16" t="s">
        <v>306</v>
      </c>
      <c r="O901" s="16" t="s">
        <v>307</v>
      </c>
    </row>
    <row r="902" ht="15.75" customHeight="1">
      <c r="A902" s="19">
        <v>45578.0</v>
      </c>
      <c r="B902" s="16" t="s">
        <v>35</v>
      </c>
      <c r="C902" s="16" t="str">
        <f t="shared" si="1"/>
        <v>Medellín</v>
      </c>
      <c r="D902" s="16" t="str">
        <f t="shared" si="2"/>
        <v>Medellín</v>
      </c>
      <c r="E902" s="16" t="str">
        <f t="shared" si="3"/>
        <v>Medellín</v>
      </c>
      <c r="F902" s="16" t="s">
        <v>121</v>
      </c>
      <c r="G902" s="17" t="str">
        <f>IFERROR(__xludf.DUMMYFUNCTION("SPLIT(F902:F1901,""-"") "),"Teléfono")</f>
        <v>Teléfono</v>
      </c>
      <c r="H902" s="16" t="str">
        <f>IFERROR(__xludf.DUMMYFUNCTION("""COMPUTED_VALUE"""),"Gama alta")</f>
        <v>Gama alta</v>
      </c>
      <c r="I902" s="16" t="str">
        <f>IFERROR(__xludf.DUMMYFUNCTION("""COMPUTED_VALUE"""),"8GB")</f>
        <v>8GB</v>
      </c>
      <c r="J902" s="18">
        <v>226.52</v>
      </c>
      <c r="K902" s="16">
        <v>2.0</v>
      </c>
      <c r="L902" s="18">
        <v>453.04</v>
      </c>
      <c r="M902" s="16" t="s">
        <v>203</v>
      </c>
      <c r="N902" s="16" t="s">
        <v>204</v>
      </c>
      <c r="O902" s="16" t="s">
        <v>205</v>
      </c>
    </row>
    <row r="903" ht="15.75" customHeight="1">
      <c r="A903" s="19">
        <v>45651.0</v>
      </c>
      <c r="B903" s="16" t="s">
        <v>9</v>
      </c>
      <c r="C903" s="16" t="str">
        <f t="shared" si="1"/>
        <v>Monterrey</v>
      </c>
      <c r="D903" s="16" t="str">
        <f t="shared" si="2"/>
        <v>Monterrey</v>
      </c>
      <c r="E903" s="16" t="str">
        <f t="shared" si="3"/>
        <v>Monterrey</v>
      </c>
      <c r="F903" s="16" t="s">
        <v>430</v>
      </c>
      <c r="G903" s="17" t="str">
        <f>IFERROR(__xludf.DUMMYFUNCTION("SPLIT(F903:F1902,""-"") "),"Teléfono")</f>
        <v>Teléfono</v>
      </c>
      <c r="H903" s="16" t="str">
        <f>IFERROR(__xludf.DUMMYFUNCTION("""COMPUTED_VALUE"""),"Gama alta")</f>
        <v>Gama alta</v>
      </c>
      <c r="I903" s="16" t="str">
        <f>IFERROR(__xludf.DUMMYFUNCTION("""COMPUTED_VALUE"""),"4GB")</f>
        <v>4GB</v>
      </c>
      <c r="J903" s="18">
        <v>2334.37</v>
      </c>
      <c r="K903" s="16">
        <v>1.0</v>
      </c>
      <c r="L903" s="18">
        <v>2334.37</v>
      </c>
      <c r="M903" s="16" t="s">
        <v>2183</v>
      </c>
      <c r="N903" s="16" t="s">
        <v>2184</v>
      </c>
      <c r="O903" s="16" t="s">
        <v>2185</v>
      </c>
    </row>
    <row r="904" ht="15.75" customHeight="1">
      <c r="A904" s="23">
        <v>45333.0</v>
      </c>
      <c r="B904" s="16" t="s">
        <v>35</v>
      </c>
      <c r="C904" s="16" t="str">
        <f t="shared" si="1"/>
        <v>Medellín</v>
      </c>
      <c r="D904" s="16" t="str">
        <f t="shared" si="2"/>
        <v>Medellín</v>
      </c>
      <c r="E904" s="16" t="str">
        <f t="shared" si="3"/>
        <v>Medellín</v>
      </c>
      <c r="F904" s="16" t="s">
        <v>125</v>
      </c>
      <c r="G904" s="17" t="str">
        <f>IFERROR(__xludf.DUMMYFUNCTION("SPLIT(F904:F1903,""-"") "),"Tel√©fono")</f>
        <v>Tel√©fono</v>
      </c>
      <c r="H904" s="16" t="str">
        <f>IFERROR(__xludf.DUMMYFUNCTION("""COMPUTED_VALUE"""),"Gama media")</f>
        <v>Gama media</v>
      </c>
      <c r="I904" s="16" t="str">
        <f>IFERROR(__xludf.DUMMYFUNCTION("""COMPUTED_VALUE"""),"8GB")</f>
        <v>8GB</v>
      </c>
      <c r="J904" s="18">
        <v>2180.21</v>
      </c>
      <c r="K904" s="16">
        <v>3.0</v>
      </c>
      <c r="L904" s="18">
        <v>6540.63</v>
      </c>
      <c r="M904" s="16" t="s">
        <v>3083</v>
      </c>
      <c r="N904" s="16" t="s">
        <v>3084</v>
      </c>
      <c r="O904" s="16" t="s">
        <v>3085</v>
      </c>
    </row>
    <row r="905" ht="15.75" customHeight="1">
      <c r="A905" s="23">
        <v>45547.0</v>
      </c>
      <c r="B905" s="16" t="s">
        <v>75</v>
      </c>
      <c r="C905" s="16" t="str">
        <f t="shared" si="1"/>
        <v>Cali</v>
      </c>
      <c r="D905" s="16" t="str">
        <f t="shared" si="2"/>
        <v>Cali</v>
      </c>
      <c r="E905" s="16" t="str">
        <f t="shared" si="3"/>
        <v>Cali</v>
      </c>
      <c r="F905" s="16" t="s">
        <v>186</v>
      </c>
      <c r="G905" s="17" t="str">
        <f>IFERROR(__xludf.DUMMYFUNCTION("SPLIT(F905:F1904,""-"") "),"Auriculares")</f>
        <v>Auriculares</v>
      </c>
      <c r="H905" s="16" t="str">
        <f>IFERROR(__xludf.DUMMYFUNCTION("""COMPUTED_VALUE"""),"Cancelaci√≥n de ruido")</f>
        <v>Cancelaci√≥n de ruido</v>
      </c>
      <c r="I905" s="16" t="str">
        <f>IFERROR(__xludf.DUMMYFUNCTION("""COMPUTED_VALUE"""),"16GB")</f>
        <v>16GB</v>
      </c>
      <c r="J905" s="18">
        <v>2439.67</v>
      </c>
      <c r="K905" s="16">
        <v>2.0</v>
      </c>
      <c r="L905" s="18">
        <v>4879.34</v>
      </c>
      <c r="M905" s="16" t="s">
        <v>3086</v>
      </c>
      <c r="N905" s="16" t="s">
        <v>3087</v>
      </c>
      <c r="O905" s="16" t="s">
        <v>3088</v>
      </c>
    </row>
    <row r="906" ht="15.75" customHeight="1">
      <c r="A906" s="23">
        <v>45637.0</v>
      </c>
      <c r="B906" s="16" t="s">
        <v>75</v>
      </c>
      <c r="C906" s="16" t="str">
        <f t="shared" si="1"/>
        <v>Cali</v>
      </c>
      <c r="D906" s="16" t="str">
        <f t="shared" si="2"/>
        <v>Cali</v>
      </c>
      <c r="E906" s="16" t="str">
        <f t="shared" si="3"/>
        <v>Cali</v>
      </c>
      <c r="F906" s="16" t="s">
        <v>233</v>
      </c>
      <c r="G906" s="17" t="str">
        <f>IFERROR(__xludf.DUMMYFUNCTION("SPLIT(F906:F1905,""-"") "),"Tablet")</f>
        <v>Tablet</v>
      </c>
      <c r="H906" s="16" t="str">
        <f>IFERROR(__xludf.DUMMYFUNCTION("""COMPUTED_VALUE"""),"Mini")</f>
        <v>Mini</v>
      </c>
      <c r="I906" s="16" t="str">
        <f>IFERROR(__xludf.DUMMYFUNCTION("""COMPUTED_VALUE"""),"16GB")</f>
        <v>16GB</v>
      </c>
      <c r="J906" s="18">
        <v>1076.71</v>
      </c>
      <c r="K906" s="16">
        <v>3.0</v>
      </c>
      <c r="L906" s="18">
        <v>3230.13</v>
      </c>
      <c r="M906" s="16" t="s">
        <v>1784</v>
      </c>
      <c r="N906" s="16" t="s">
        <v>1785</v>
      </c>
      <c r="O906" s="16" t="s">
        <v>1786</v>
      </c>
    </row>
    <row r="907" ht="15.75" customHeight="1">
      <c r="A907" s="23">
        <v>45577.0</v>
      </c>
      <c r="B907" s="16" t="s">
        <v>14</v>
      </c>
      <c r="C907" s="16" t="str">
        <f t="shared" si="1"/>
        <v>Bogotá</v>
      </c>
      <c r="D907" s="16" t="str">
        <f t="shared" si="2"/>
        <v>Bogotá</v>
      </c>
      <c r="E907" s="16" t="str">
        <f t="shared" si="3"/>
        <v>Bogotá</v>
      </c>
      <c r="F907" s="16" t="s">
        <v>59</v>
      </c>
      <c r="G907" s="17" t="str">
        <f>IFERROR(__xludf.DUMMYFUNCTION("SPLIT(F907:F1906,""-"") "),"Auriculares")</f>
        <v>Auriculares</v>
      </c>
      <c r="H907" s="16" t="str">
        <f>IFERROR(__xludf.DUMMYFUNCTION("""COMPUTED_VALUE"""),"Bluetooth")</f>
        <v>Bluetooth</v>
      </c>
      <c r="I907" s="16" t="str">
        <f>IFERROR(__xludf.DUMMYFUNCTION("""COMPUTED_VALUE"""),"4GB")</f>
        <v>4GB</v>
      </c>
      <c r="J907" s="18">
        <v>1163.04</v>
      </c>
      <c r="K907" s="16">
        <v>1.0</v>
      </c>
      <c r="L907" s="18">
        <v>1163.04</v>
      </c>
      <c r="M907" s="16" t="s">
        <v>175</v>
      </c>
      <c r="N907" s="16" t="s">
        <v>176</v>
      </c>
      <c r="O907" s="16" t="s">
        <v>177</v>
      </c>
    </row>
    <row r="908" ht="15.75" customHeight="1">
      <c r="A908" s="23">
        <v>45545.0</v>
      </c>
      <c r="B908" s="16" t="s">
        <v>35</v>
      </c>
      <c r="C908" s="16" t="str">
        <f t="shared" si="1"/>
        <v>Medellín</v>
      </c>
      <c r="D908" s="16" t="str">
        <f t="shared" si="2"/>
        <v>Medellín</v>
      </c>
      <c r="E908" s="16" t="str">
        <f t="shared" si="3"/>
        <v>Medellín</v>
      </c>
      <c r="F908" s="16" t="s">
        <v>3089</v>
      </c>
      <c r="G908" s="17" t="str">
        <f>IFERROR(__xludf.DUMMYFUNCTION("SPLIT(F908:F1907,""-"") "),"Teléfono")</f>
        <v>Teléfono</v>
      </c>
      <c r="H908" s="16" t="str">
        <f>IFERROR(__xludf.DUMMYFUNCTION("""COMPUTED_VALUE"""),"Gama baja")</f>
        <v>Gama baja</v>
      </c>
      <c r="I908" s="16" t="str">
        <f>IFERROR(__xludf.DUMMYFUNCTION("""COMPUTED_VALUE"""),"8GB ")</f>
        <v>8GB </v>
      </c>
      <c r="J908" s="18">
        <v>1701.36</v>
      </c>
      <c r="K908" s="16">
        <v>3.0</v>
      </c>
      <c r="L908" s="18">
        <v>5104.08</v>
      </c>
      <c r="M908" s="16" t="s">
        <v>3090</v>
      </c>
      <c r="N908" s="16" t="s">
        <v>3091</v>
      </c>
      <c r="O908" s="16" t="s">
        <v>3092</v>
      </c>
    </row>
    <row r="909" ht="15.75" customHeight="1">
      <c r="A909" s="19">
        <v>45622.0</v>
      </c>
      <c r="B909" s="16" t="s">
        <v>2359</v>
      </c>
      <c r="C909" s="16" t="str">
        <f t="shared" si="1"/>
        <v>Ciudad De M√©Xico</v>
      </c>
      <c r="D909" s="16" t="str">
        <f t="shared" si="2"/>
        <v>Ciudad De M√©Xico</v>
      </c>
      <c r="E909" s="16" t="str">
        <f t="shared" si="3"/>
        <v>Ciudad De MéXico</v>
      </c>
      <c r="F909" s="16" t="s">
        <v>54</v>
      </c>
      <c r="G909" s="17" t="str">
        <f>IFERROR(__xludf.DUMMYFUNCTION("SPLIT(F909:F1908,""-"") "),"Laptop")</f>
        <v>Laptop</v>
      </c>
      <c r="H909" s="16" t="str">
        <f>IFERROR(__xludf.DUMMYFUNCTION("""COMPUTED_VALUE"""),"Oficina")</f>
        <v>Oficina</v>
      </c>
      <c r="I909" s="16" t="str">
        <f>IFERROR(__xludf.DUMMYFUNCTION("""COMPUTED_VALUE"""),"8GB")</f>
        <v>8GB</v>
      </c>
      <c r="J909" s="18">
        <v>1892.73</v>
      </c>
      <c r="K909" s="16">
        <v>5.0</v>
      </c>
      <c r="L909" s="18">
        <v>9463.65</v>
      </c>
      <c r="M909" s="16" t="s">
        <v>1532</v>
      </c>
      <c r="N909" s="16" t="s">
        <v>1533</v>
      </c>
      <c r="O909" s="16" t="s">
        <v>1534</v>
      </c>
    </row>
    <row r="910" ht="15.75" customHeight="1">
      <c r="A910" s="19">
        <v>45615.0</v>
      </c>
      <c r="B910" s="16" t="s">
        <v>14</v>
      </c>
      <c r="C910" s="16" t="str">
        <f t="shared" si="1"/>
        <v>Bogotá</v>
      </c>
      <c r="D910" s="16" t="str">
        <f t="shared" si="2"/>
        <v>Bogotá</v>
      </c>
      <c r="E910" s="16" t="str">
        <f t="shared" si="3"/>
        <v>Bogotá</v>
      </c>
      <c r="F910" s="16" t="s">
        <v>40</v>
      </c>
      <c r="G910" s="17" t="str">
        <f>IFERROR(__xludf.DUMMYFUNCTION("SPLIT(F910:F1909,""-"") "),"Auriculares")</f>
        <v>Auriculares</v>
      </c>
      <c r="H910" s="16" t="str">
        <f>IFERROR(__xludf.DUMMYFUNCTION("""COMPUTED_VALUE"""),"Con cable")</f>
        <v>Con cable</v>
      </c>
      <c r="I910" s="16" t="str">
        <f>IFERROR(__xludf.DUMMYFUNCTION("""COMPUTED_VALUE"""),"8GB")</f>
        <v>8GB</v>
      </c>
      <c r="J910" s="18">
        <v>1097.51</v>
      </c>
      <c r="K910" s="16">
        <v>1.0</v>
      </c>
      <c r="L910" s="18">
        <v>1097.51</v>
      </c>
      <c r="M910" s="16" t="s">
        <v>1293</v>
      </c>
      <c r="N910" s="16" t="s">
        <v>1294</v>
      </c>
      <c r="O910" s="16" t="s">
        <v>1295</v>
      </c>
    </row>
    <row r="911" ht="15.75" customHeight="1">
      <c r="A911" s="19">
        <v>45588.0</v>
      </c>
      <c r="B911" s="16" t="s">
        <v>75</v>
      </c>
      <c r="C911" s="16" t="str">
        <f t="shared" si="1"/>
        <v>Cali</v>
      </c>
      <c r="D911" s="16" t="str">
        <f t="shared" si="2"/>
        <v>Cali</v>
      </c>
      <c r="E911" s="16" t="str">
        <f t="shared" si="3"/>
        <v>Cali</v>
      </c>
      <c r="F911" s="16" t="s">
        <v>94</v>
      </c>
      <c r="G911" s="17" t="str">
        <f>IFERROR(__xludf.DUMMYFUNCTION("SPLIT(F911:F1910,""-"") "),"Tablet")</f>
        <v>Tablet</v>
      </c>
      <c r="H911" s="16" t="str">
        <f>IFERROR(__xludf.DUMMYFUNCTION("""COMPUTED_VALUE"""),"Mini")</f>
        <v>Mini</v>
      </c>
      <c r="I911" s="16" t="str">
        <f>IFERROR(__xludf.DUMMYFUNCTION("""COMPUTED_VALUE"""),"8GB")</f>
        <v>8GB</v>
      </c>
      <c r="J911" s="18">
        <v>1362.97</v>
      </c>
      <c r="K911" s="16">
        <v>1.0</v>
      </c>
      <c r="L911" s="18">
        <v>1362.97</v>
      </c>
      <c r="M911" s="16" t="s">
        <v>571</v>
      </c>
      <c r="N911" s="16" t="s">
        <v>572</v>
      </c>
      <c r="O911" s="16" t="s">
        <v>573</v>
      </c>
    </row>
    <row r="912" ht="15.75" customHeight="1">
      <c r="A912" s="19">
        <v>45611.0</v>
      </c>
      <c r="B912" s="16" t="s">
        <v>58</v>
      </c>
      <c r="C912" s="16" t="str">
        <f t="shared" si="1"/>
        <v>Guadalajara</v>
      </c>
      <c r="D912" s="16" t="str">
        <f t="shared" si="2"/>
        <v>Guadalajara</v>
      </c>
      <c r="E912" s="16" t="str">
        <f t="shared" si="3"/>
        <v>Guadalajara</v>
      </c>
      <c r="F912" s="16" t="s">
        <v>373</v>
      </c>
      <c r="G912" s="17" t="str">
        <f>IFERROR(__xludf.DUMMYFUNCTION("SPLIT(F912:F1911,""-"") "),"Teléfono")</f>
        <v>Teléfono</v>
      </c>
      <c r="H912" s="16" t="str">
        <f>IFERROR(__xludf.DUMMYFUNCTION("""COMPUTED_VALUE"""),"Gama media")</f>
        <v>Gama media</v>
      </c>
      <c r="I912" s="16" t="str">
        <f>IFERROR(__xludf.DUMMYFUNCTION("""COMPUTED_VALUE"""),"16GB")</f>
        <v>16GB</v>
      </c>
      <c r="J912" s="18">
        <v>1626.83</v>
      </c>
      <c r="K912" s="16">
        <v>1.0</v>
      </c>
      <c r="L912" s="18">
        <v>1626.83</v>
      </c>
      <c r="M912" s="16" t="s">
        <v>1149</v>
      </c>
      <c r="N912" s="16" t="s">
        <v>1150</v>
      </c>
      <c r="O912" s="21" t="s">
        <v>1151</v>
      </c>
    </row>
    <row r="913" ht="15.75" customHeight="1">
      <c r="A913" s="19">
        <v>45644.0</v>
      </c>
      <c r="B913" s="16" t="s">
        <v>35</v>
      </c>
      <c r="C913" s="16" t="str">
        <f t="shared" si="1"/>
        <v>Medellín</v>
      </c>
      <c r="D913" s="16" t="str">
        <f t="shared" si="2"/>
        <v>Medellín</v>
      </c>
      <c r="E913" s="16" t="str">
        <f t="shared" si="3"/>
        <v>Medellín</v>
      </c>
      <c r="F913" s="16" t="s">
        <v>15</v>
      </c>
      <c r="G913" s="17" t="str">
        <f>IFERROR(__xludf.DUMMYFUNCTION("SPLIT(F913:F1912,""-"") "),"Auriculares")</f>
        <v>Auriculares</v>
      </c>
      <c r="H913" s="16" t="str">
        <f>IFERROR(__xludf.DUMMYFUNCTION("""COMPUTED_VALUE"""),"Con cable")</f>
        <v>Con cable</v>
      </c>
      <c r="I913" s="16" t="str">
        <f>IFERROR(__xludf.DUMMYFUNCTION("""COMPUTED_VALUE"""),"32GB")</f>
        <v>32GB</v>
      </c>
      <c r="J913" s="18">
        <v>292.99</v>
      </c>
      <c r="K913" s="16">
        <v>1.0</v>
      </c>
      <c r="L913" s="18">
        <v>292.99</v>
      </c>
      <c r="M913" s="16" t="s">
        <v>1972</v>
      </c>
      <c r="N913" s="16" t="s">
        <v>1973</v>
      </c>
      <c r="O913" s="16" t="s">
        <v>1974</v>
      </c>
    </row>
    <row r="914" ht="15.75" customHeight="1">
      <c r="A914" s="19">
        <v>45616.0</v>
      </c>
      <c r="B914" s="16" t="s">
        <v>35</v>
      </c>
      <c r="C914" s="16" t="str">
        <f t="shared" si="1"/>
        <v>Medellín</v>
      </c>
      <c r="D914" s="16" t="str">
        <f t="shared" si="2"/>
        <v>Medellín</v>
      </c>
      <c r="E914" s="16" t="str">
        <f t="shared" si="3"/>
        <v>Medellín</v>
      </c>
      <c r="F914" s="16" t="s">
        <v>171</v>
      </c>
      <c r="G914" s="17" t="str">
        <f>IFERROR(__xludf.DUMMYFUNCTION("SPLIT(F914:F1913,""-"") "),"Teléfono")</f>
        <v>Teléfono</v>
      </c>
      <c r="H914" s="16" t="str">
        <f>IFERROR(__xludf.DUMMYFUNCTION("""COMPUTED_VALUE"""),"Gama baja")</f>
        <v>Gama baja</v>
      </c>
      <c r="I914" s="16" t="str">
        <f>IFERROR(__xludf.DUMMYFUNCTION("""COMPUTED_VALUE"""),"4GB")</f>
        <v>4GB</v>
      </c>
      <c r="J914" s="18">
        <v>1570.12</v>
      </c>
      <c r="K914" s="16">
        <v>3.0</v>
      </c>
      <c r="L914" s="18">
        <v>4710.36</v>
      </c>
      <c r="M914" s="16" t="s">
        <v>1329</v>
      </c>
      <c r="N914" s="16" t="s">
        <v>1330</v>
      </c>
      <c r="O914" s="16" t="s">
        <v>1331</v>
      </c>
    </row>
    <row r="915" ht="15.75" customHeight="1">
      <c r="A915" s="19">
        <v>45649.0</v>
      </c>
      <c r="B915" s="16" t="s">
        <v>9</v>
      </c>
      <c r="C915" s="16" t="str">
        <f t="shared" si="1"/>
        <v>Monterrey</v>
      </c>
      <c r="D915" s="16" t="str">
        <f t="shared" si="2"/>
        <v>Monterrey</v>
      </c>
      <c r="E915" s="16" t="str">
        <f t="shared" si="3"/>
        <v>Monterrey</v>
      </c>
      <c r="F915" s="16" t="s">
        <v>76</v>
      </c>
      <c r="G915" s="17" t="str">
        <f>IFERROR(__xludf.DUMMYFUNCTION("SPLIT(F915:F1914,""-"") "),"Tablet")</f>
        <v>Tablet</v>
      </c>
      <c r="H915" s="16" t="str">
        <f>IFERROR(__xludf.DUMMYFUNCTION("""COMPUTED_VALUE"""),"Mini")</f>
        <v>Mini</v>
      </c>
      <c r="I915" s="16" t="str">
        <f>IFERROR(__xludf.DUMMYFUNCTION("""COMPUTED_VALUE"""),"32GB")</f>
        <v>32GB</v>
      </c>
      <c r="J915" s="18">
        <v>2174.89</v>
      </c>
      <c r="K915" s="16">
        <v>2.0</v>
      </c>
      <c r="L915" s="18">
        <v>4349.78</v>
      </c>
      <c r="M915" s="16" t="s">
        <v>2123</v>
      </c>
      <c r="N915" s="16" t="s">
        <v>2124</v>
      </c>
      <c r="O915" s="16" t="s">
        <v>2125</v>
      </c>
    </row>
    <row r="916" ht="15.75" customHeight="1">
      <c r="A916" s="23">
        <v>45303.0</v>
      </c>
      <c r="B916" s="16" t="s">
        <v>2359</v>
      </c>
      <c r="C916" s="16" t="str">
        <f t="shared" si="1"/>
        <v>Ciudad De M√©Xico</v>
      </c>
      <c r="D916" s="16" t="str">
        <f t="shared" si="2"/>
        <v>Ciudad De M√©Xico</v>
      </c>
      <c r="E916" s="16" t="str">
        <f t="shared" si="3"/>
        <v>Ciudad De MéXico</v>
      </c>
      <c r="F916" s="16" t="s">
        <v>54</v>
      </c>
      <c r="G916" s="17" t="str">
        <f>IFERROR(__xludf.DUMMYFUNCTION("SPLIT(F916:F1915,""-"") "),"Laptop")</f>
        <v>Laptop</v>
      </c>
      <c r="H916" s="16" t="str">
        <f>IFERROR(__xludf.DUMMYFUNCTION("""COMPUTED_VALUE"""),"Oficina")</f>
        <v>Oficina</v>
      </c>
      <c r="I916" s="16" t="str">
        <f>IFERROR(__xludf.DUMMYFUNCTION("""COMPUTED_VALUE"""),"8GB")</f>
        <v>8GB</v>
      </c>
      <c r="J916" s="18">
        <v>1288.12</v>
      </c>
      <c r="K916" s="16">
        <v>1.0</v>
      </c>
      <c r="L916" s="18">
        <v>1288.12</v>
      </c>
      <c r="M916" s="16" t="s">
        <v>3093</v>
      </c>
      <c r="N916" s="16" t="s">
        <v>3094</v>
      </c>
      <c r="O916" s="16" t="s">
        <v>3095</v>
      </c>
    </row>
    <row r="917" ht="15.75" customHeight="1">
      <c r="A917" s="19">
        <v>45654.0</v>
      </c>
      <c r="B917" s="16" t="s">
        <v>2359</v>
      </c>
      <c r="C917" s="16" t="str">
        <f t="shared" si="1"/>
        <v>Ciudad De M√©Xico</v>
      </c>
      <c r="D917" s="16" t="str">
        <f t="shared" si="2"/>
        <v>Ciudad De M√©Xico</v>
      </c>
      <c r="E917" s="16" t="str">
        <f t="shared" si="3"/>
        <v>Ciudad De MéXico</v>
      </c>
      <c r="F917" s="16" t="s">
        <v>319</v>
      </c>
      <c r="G917" s="17" t="str">
        <f>IFERROR(__xludf.DUMMYFUNCTION("SPLIT(F917:F1916,""-"") "),"Tablet")</f>
        <v>Tablet</v>
      </c>
      <c r="H917" s="16" t="str">
        <f>IFERROR(__xludf.DUMMYFUNCTION("""COMPUTED_VALUE"""),"Pro")</f>
        <v>Pro</v>
      </c>
      <c r="I917" s="16" t="str">
        <f>IFERROR(__xludf.DUMMYFUNCTION("""COMPUTED_VALUE"""),"32GB")</f>
        <v>32GB</v>
      </c>
      <c r="J917" s="18">
        <v>158.82</v>
      </c>
      <c r="K917" s="16">
        <v>2.0</v>
      </c>
      <c r="L917" s="18">
        <v>317.64</v>
      </c>
      <c r="M917" s="16" t="s">
        <v>2267</v>
      </c>
      <c r="N917" s="16" t="s">
        <v>2268</v>
      </c>
      <c r="O917" s="16" t="s">
        <v>2269</v>
      </c>
    </row>
    <row r="918" ht="15.75" customHeight="1">
      <c r="A918" s="19">
        <v>45646.0</v>
      </c>
      <c r="B918" s="16" t="s">
        <v>2359</v>
      </c>
      <c r="C918" s="16" t="str">
        <f t="shared" si="1"/>
        <v>Ciudad De M√©Xico</v>
      </c>
      <c r="D918" s="16" t="str">
        <f t="shared" si="2"/>
        <v>Ciudad De M√©Xico</v>
      </c>
      <c r="E918" s="16" t="str">
        <f t="shared" si="3"/>
        <v>Ciudad De MéXico</v>
      </c>
      <c r="F918" s="16" t="s">
        <v>399</v>
      </c>
      <c r="G918" s="17" t="str">
        <f>IFERROR(__xludf.DUMMYFUNCTION("SPLIT(F918:F1917,""-"") "),"Laptop")</f>
        <v>Laptop</v>
      </c>
      <c r="H918" s="16" t="str">
        <f>IFERROR(__xludf.DUMMYFUNCTION("""COMPUTED_VALUE"""),"Gaming")</f>
        <v>Gaming</v>
      </c>
      <c r="I918" s="16" t="str">
        <f>IFERROR(__xludf.DUMMYFUNCTION("""COMPUTED_VALUE"""),"4GB")</f>
        <v>4GB</v>
      </c>
      <c r="J918" s="18">
        <v>1092.96</v>
      </c>
      <c r="K918" s="16">
        <v>4.0</v>
      </c>
      <c r="L918" s="18">
        <v>4371.84</v>
      </c>
      <c r="M918" s="16" t="s">
        <v>2026</v>
      </c>
      <c r="N918" s="16" t="s">
        <v>2027</v>
      </c>
      <c r="O918" s="16" t="s">
        <v>2028</v>
      </c>
    </row>
    <row r="919" ht="15.75" customHeight="1">
      <c r="A919" s="19">
        <v>45584.0</v>
      </c>
      <c r="B919" s="16" t="s">
        <v>14</v>
      </c>
      <c r="C919" s="16" t="str">
        <f t="shared" si="1"/>
        <v>Bogotá</v>
      </c>
      <c r="D919" s="16" t="str">
        <f t="shared" si="2"/>
        <v>Bogotá</v>
      </c>
      <c r="E919" s="16" t="str">
        <f t="shared" si="3"/>
        <v>Bogotá</v>
      </c>
      <c r="F919" s="16" t="s">
        <v>225</v>
      </c>
      <c r="G919" s="17" t="str">
        <f>IFERROR(__xludf.DUMMYFUNCTION("SPLIT(F919:F1918,""-"") "),"Laptop")</f>
        <v>Laptop</v>
      </c>
      <c r="H919" s="16" t="str">
        <f>IFERROR(__xludf.DUMMYFUNCTION("""COMPUTED_VALUE"""),"Gaming")</f>
        <v>Gaming</v>
      </c>
      <c r="I919" s="16" t="str">
        <f>IFERROR(__xludf.DUMMYFUNCTION("""COMPUTED_VALUE"""),"16GB")</f>
        <v>16GB</v>
      </c>
      <c r="J919" s="18">
        <v>722.95</v>
      </c>
      <c r="K919" s="16">
        <v>3.0</v>
      </c>
      <c r="L919" s="18">
        <v>2168.85</v>
      </c>
      <c r="M919" s="16" t="s">
        <v>449</v>
      </c>
      <c r="N919" s="16" t="s">
        <v>450</v>
      </c>
      <c r="O919" s="16" t="s">
        <v>451</v>
      </c>
    </row>
    <row r="920" ht="15.75" customHeight="1">
      <c r="A920" s="19">
        <v>45580.0</v>
      </c>
      <c r="B920" s="16" t="s">
        <v>14</v>
      </c>
      <c r="C920" s="16" t="str">
        <f t="shared" si="1"/>
        <v>Bogotá</v>
      </c>
      <c r="D920" s="16" t="str">
        <f t="shared" si="2"/>
        <v>Bogotá</v>
      </c>
      <c r="E920" s="16" t="str">
        <f t="shared" si="3"/>
        <v>Bogotá</v>
      </c>
      <c r="F920" s="16" t="s">
        <v>218</v>
      </c>
      <c r="G920" s="17" t="str">
        <f>IFERROR(__xludf.DUMMYFUNCTION("SPLIT(F920:F1919,""-"") "),"Teléfono")</f>
        <v>Teléfono</v>
      </c>
      <c r="H920" s="16" t="str">
        <f>IFERROR(__xludf.DUMMYFUNCTION("""COMPUTED_VALUE"""),"Gama media")</f>
        <v>Gama media</v>
      </c>
      <c r="I920" s="16" t="str">
        <f>IFERROR(__xludf.DUMMYFUNCTION("""COMPUTED_VALUE"""),"4GB")</f>
        <v>4GB</v>
      </c>
      <c r="J920" s="18">
        <v>829.53</v>
      </c>
      <c r="K920" s="16">
        <v>4.0</v>
      </c>
      <c r="L920" s="18">
        <v>3318.12</v>
      </c>
      <c r="M920" s="16" t="s">
        <v>308</v>
      </c>
      <c r="N920" s="16" t="s">
        <v>309</v>
      </c>
      <c r="O920" s="16" t="s">
        <v>310</v>
      </c>
    </row>
    <row r="921" ht="15.75" customHeight="1">
      <c r="A921" s="23">
        <v>45547.0</v>
      </c>
      <c r="B921" s="16" t="s">
        <v>9</v>
      </c>
      <c r="C921" s="16" t="str">
        <f t="shared" si="1"/>
        <v>Monterrey</v>
      </c>
      <c r="D921" s="16" t="str">
        <f t="shared" si="2"/>
        <v>Monterrey</v>
      </c>
      <c r="E921" s="16" t="str">
        <f t="shared" si="3"/>
        <v>Monterrey</v>
      </c>
      <c r="F921" s="16" t="s">
        <v>233</v>
      </c>
      <c r="G921" s="17" t="str">
        <f>IFERROR(__xludf.DUMMYFUNCTION("SPLIT(F921:F1920,""-"") "),"Tablet")</f>
        <v>Tablet</v>
      </c>
      <c r="H921" s="16" t="str">
        <f>IFERROR(__xludf.DUMMYFUNCTION("""COMPUTED_VALUE"""),"Mini")</f>
        <v>Mini</v>
      </c>
      <c r="I921" s="16" t="str">
        <f>IFERROR(__xludf.DUMMYFUNCTION("""COMPUTED_VALUE"""),"16GB")</f>
        <v>16GB</v>
      </c>
      <c r="J921" s="18">
        <v>680.45</v>
      </c>
      <c r="K921" s="16">
        <v>4.0</v>
      </c>
      <c r="L921" s="18">
        <v>2721.8</v>
      </c>
      <c r="M921" s="16" t="s">
        <v>3096</v>
      </c>
      <c r="N921" s="16" t="s">
        <v>3097</v>
      </c>
      <c r="O921" s="16" t="s">
        <v>3098</v>
      </c>
    </row>
    <row r="922" ht="15.75" customHeight="1">
      <c r="A922" s="23">
        <v>45636.0</v>
      </c>
      <c r="B922" s="16" t="s">
        <v>35</v>
      </c>
      <c r="C922" s="16" t="str">
        <f t="shared" si="1"/>
        <v>Medellín</v>
      </c>
      <c r="D922" s="16" t="str">
        <f t="shared" si="2"/>
        <v>Medellín</v>
      </c>
      <c r="E922" s="16" t="str">
        <f t="shared" si="3"/>
        <v>Medellín</v>
      </c>
      <c r="F922" s="16" t="s">
        <v>233</v>
      </c>
      <c r="G922" s="17" t="str">
        <f>IFERROR(__xludf.DUMMYFUNCTION("SPLIT(F922:F1921,""-"") "),"Tablet")</f>
        <v>Tablet</v>
      </c>
      <c r="H922" s="16" t="str">
        <f>IFERROR(__xludf.DUMMYFUNCTION("""COMPUTED_VALUE"""),"Mini")</f>
        <v>Mini</v>
      </c>
      <c r="I922" s="16" t="str">
        <f>IFERROR(__xludf.DUMMYFUNCTION("""COMPUTED_VALUE"""),"16GB")</f>
        <v>16GB</v>
      </c>
      <c r="J922" s="18">
        <v>2351.13</v>
      </c>
      <c r="K922" s="16">
        <v>1.0</v>
      </c>
      <c r="L922" s="18">
        <v>2351.13</v>
      </c>
      <c r="M922" s="16" t="s">
        <v>1754</v>
      </c>
      <c r="N922" s="16" t="s">
        <v>1755</v>
      </c>
      <c r="O922" s="16" t="s">
        <v>1756</v>
      </c>
    </row>
    <row r="923" ht="15.75" customHeight="1">
      <c r="A923" s="19">
        <v>45655.0</v>
      </c>
      <c r="B923" s="16" t="s">
        <v>9</v>
      </c>
      <c r="C923" s="16" t="str">
        <f t="shared" si="1"/>
        <v>Monterrey</v>
      </c>
      <c r="D923" s="16" t="str">
        <f t="shared" si="2"/>
        <v>Monterrey</v>
      </c>
      <c r="E923" s="16" t="str">
        <f t="shared" si="3"/>
        <v>Monterrey</v>
      </c>
      <c r="F923" s="16" t="s">
        <v>10</v>
      </c>
      <c r="G923" s="17" t="str">
        <f>IFERROR(__xludf.DUMMYFUNCTION("SPLIT(F923:F1922,""-"") "),"Tablet")</f>
        <v>Tablet</v>
      </c>
      <c r="H923" s="16" t="str">
        <f>IFERROR(__xludf.DUMMYFUNCTION("""COMPUTED_VALUE"""),"Estándar")</f>
        <v>Estándar</v>
      </c>
      <c r="I923" s="16" t="str">
        <f>IFERROR(__xludf.DUMMYFUNCTION("""COMPUTED_VALUE"""),"8GB")</f>
        <v>8GB</v>
      </c>
      <c r="J923" s="18">
        <v>792.6</v>
      </c>
      <c r="K923" s="16">
        <v>5.0</v>
      </c>
      <c r="L923" s="18">
        <v>3963.0</v>
      </c>
      <c r="M923" s="16" t="s">
        <v>2306</v>
      </c>
      <c r="N923" s="16" t="s">
        <v>2307</v>
      </c>
      <c r="O923" s="16" t="s">
        <v>2308</v>
      </c>
    </row>
    <row r="924" ht="15.75" customHeight="1">
      <c r="A924" s="19">
        <v>45641.0</v>
      </c>
      <c r="B924" s="16" t="s">
        <v>58</v>
      </c>
      <c r="C924" s="16" t="str">
        <f t="shared" si="1"/>
        <v>Guadalajara</v>
      </c>
      <c r="D924" s="16" t="str">
        <f t="shared" si="2"/>
        <v>Guadalajara</v>
      </c>
      <c r="E924" s="16" t="str">
        <f t="shared" si="3"/>
        <v>Guadalajara</v>
      </c>
      <c r="F924" s="16" t="s">
        <v>132</v>
      </c>
      <c r="G924" s="17" t="str">
        <f>IFERROR(__xludf.DUMMYFUNCTION("SPLIT(F924:F1923,""-"") "),"Tablet")</f>
        <v>Tablet</v>
      </c>
      <c r="H924" s="16" t="str">
        <f>IFERROR(__xludf.DUMMYFUNCTION("""COMPUTED_VALUE"""),"Pro")</f>
        <v>Pro</v>
      </c>
      <c r="I924" s="16" t="str">
        <f>IFERROR(__xludf.DUMMYFUNCTION("""COMPUTED_VALUE"""),"8GB")</f>
        <v>8GB</v>
      </c>
      <c r="J924" s="18">
        <v>741.53</v>
      </c>
      <c r="K924" s="16">
        <v>3.0</v>
      </c>
      <c r="L924" s="18">
        <v>2224.59</v>
      </c>
      <c r="M924" s="16" t="s">
        <v>1870</v>
      </c>
      <c r="N924" s="16" t="s">
        <v>1871</v>
      </c>
      <c r="O924" s="16" t="s">
        <v>1872</v>
      </c>
    </row>
    <row r="925" ht="15.75" customHeight="1">
      <c r="A925" s="19">
        <v>45619.0</v>
      </c>
      <c r="B925" s="16" t="s">
        <v>75</v>
      </c>
      <c r="C925" s="16" t="str">
        <f t="shared" si="1"/>
        <v>Cali</v>
      </c>
      <c r="D925" s="16" t="str">
        <f t="shared" si="2"/>
        <v>Cali</v>
      </c>
      <c r="E925" s="16" t="str">
        <f t="shared" si="3"/>
        <v>Cali</v>
      </c>
      <c r="F925" s="16" t="s">
        <v>282</v>
      </c>
      <c r="G925" s="17" t="str">
        <f>IFERROR(__xludf.DUMMYFUNCTION("SPLIT(F925:F1924,""-"") "),"Tablet")</f>
        <v>Tablet</v>
      </c>
      <c r="H925" s="16" t="str">
        <f>IFERROR(__xludf.DUMMYFUNCTION("""COMPUTED_VALUE"""),"Pro")</f>
        <v>Pro</v>
      </c>
      <c r="I925" s="16" t="str">
        <f>IFERROR(__xludf.DUMMYFUNCTION("""COMPUTED_VALUE"""),"16GB")</f>
        <v>16GB</v>
      </c>
      <c r="J925" s="18">
        <v>72.37</v>
      </c>
      <c r="K925" s="16">
        <v>4.0</v>
      </c>
      <c r="L925" s="18">
        <v>289.48</v>
      </c>
      <c r="M925" s="16" t="s">
        <v>1432</v>
      </c>
      <c r="N925" s="16" t="s">
        <v>1433</v>
      </c>
      <c r="O925" s="16" t="s">
        <v>1434</v>
      </c>
    </row>
    <row r="926" ht="15.75" customHeight="1">
      <c r="A926" s="19">
        <v>45584.0</v>
      </c>
      <c r="B926" s="16" t="s">
        <v>2359</v>
      </c>
      <c r="C926" s="16" t="str">
        <f t="shared" si="1"/>
        <v>Ciudad De M√©Xico</v>
      </c>
      <c r="D926" s="16" t="str">
        <f t="shared" si="2"/>
        <v>Ciudad De M√©Xico</v>
      </c>
      <c r="E926" s="16" t="str">
        <f t="shared" si="3"/>
        <v>Ciudad De MéXico</v>
      </c>
      <c r="F926" s="16" t="s">
        <v>167</v>
      </c>
      <c r="G926" s="17" t="str">
        <f>IFERROR(__xludf.DUMMYFUNCTION("SPLIT(F926:F1925,""-"") "),"Auriculares")</f>
        <v>Auriculares</v>
      </c>
      <c r="H926" s="16" t="str">
        <f>IFERROR(__xludf.DUMMYFUNCTION("""COMPUTED_VALUE"""),"Bluetooth")</f>
        <v>Bluetooth</v>
      </c>
      <c r="I926" s="16" t="str">
        <f>IFERROR(__xludf.DUMMYFUNCTION("""COMPUTED_VALUE"""),"32GB")</f>
        <v>32GB</v>
      </c>
      <c r="J926" s="18">
        <v>242.27</v>
      </c>
      <c r="K926" s="16">
        <v>1.0</v>
      </c>
      <c r="L926" s="18">
        <v>242.27</v>
      </c>
      <c r="M926" s="16" t="s">
        <v>452</v>
      </c>
      <c r="N926" s="16" t="s">
        <v>453</v>
      </c>
      <c r="O926" s="16" t="s">
        <v>454</v>
      </c>
    </row>
    <row r="927" ht="15.75" customHeight="1">
      <c r="A927" s="23">
        <v>45333.0</v>
      </c>
      <c r="B927" s="16" t="s">
        <v>75</v>
      </c>
      <c r="C927" s="16" t="str">
        <f t="shared" si="1"/>
        <v>Cali</v>
      </c>
      <c r="D927" s="16" t="str">
        <f t="shared" si="2"/>
        <v>Cali</v>
      </c>
      <c r="E927" s="16" t="str">
        <f t="shared" si="3"/>
        <v>Cali</v>
      </c>
      <c r="F927" s="16" t="s">
        <v>272</v>
      </c>
      <c r="G927" s="17" t="str">
        <f>IFERROR(__xludf.DUMMYFUNCTION("SPLIT(F927:F1926,""-"") "),"Teléfono")</f>
        <v>Teléfono</v>
      </c>
      <c r="H927" s="16" t="str">
        <f>IFERROR(__xludf.DUMMYFUNCTION("""COMPUTED_VALUE"""),"Gama baja")</f>
        <v>Gama baja</v>
      </c>
      <c r="I927" s="16" t="str">
        <f>IFERROR(__xludf.DUMMYFUNCTION("""COMPUTED_VALUE"""),"32GB")</f>
        <v>32GB</v>
      </c>
      <c r="J927" s="18">
        <v>2097.38</v>
      </c>
      <c r="K927" s="16">
        <v>2.0</v>
      </c>
      <c r="L927" s="18">
        <v>4194.76</v>
      </c>
      <c r="M927" s="16" t="s">
        <v>3099</v>
      </c>
      <c r="N927" s="16" t="s">
        <v>3100</v>
      </c>
      <c r="O927" s="16" t="s">
        <v>3101</v>
      </c>
    </row>
    <row r="928" ht="15.75" customHeight="1">
      <c r="A928" s="19">
        <v>45585.0</v>
      </c>
      <c r="B928" s="16" t="s">
        <v>35</v>
      </c>
      <c r="C928" s="16" t="str">
        <f t="shared" si="1"/>
        <v>Medellín</v>
      </c>
      <c r="D928" s="16" t="str">
        <f t="shared" si="2"/>
        <v>Medellín</v>
      </c>
      <c r="E928" s="16" t="str">
        <f t="shared" si="3"/>
        <v>Medellín</v>
      </c>
      <c r="F928" s="16" t="s">
        <v>259</v>
      </c>
      <c r="G928" s="17" t="str">
        <f>IFERROR(__xludf.DUMMYFUNCTION("SPLIT(F928:F1927,""-"") "),"Auriculares")</f>
        <v>Auriculares</v>
      </c>
      <c r="H928" s="16" t="str">
        <f>IFERROR(__xludf.DUMMYFUNCTION("""COMPUTED_VALUE"""),"Cancelación de ruido")</f>
        <v>Cancelación de ruido</v>
      </c>
      <c r="I928" s="16" t="str">
        <f>IFERROR(__xludf.DUMMYFUNCTION("""COMPUTED_VALUE"""),"8GB")</f>
        <v>8GB</v>
      </c>
      <c r="J928" s="18">
        <v>270.83</v>
      </c>
      <c r="K928" s="16">
        <v>3.0</v>
      </c>
      <c r="L928" s="18">
        <v>812.49</v>
      </c>
      <c r="M928" s="16" t="s">
        <v>489</v>
      </c>
      <c r="N928" s="16" t="s">
        <v>490</v>
      </c>
      <c r="O928" s="16" t="s">
        <v>491</v>
      </c>
    </row>
    <row r="929" ht="15.75" customHeight="1">
      <c r="A929" s="23">
        <v>45333.0</v>
      </c>
      <c r="B929" s="16" t="s">
        <v>14</v>
      </c>
      <c r="C929" s="16" t="str">
        <f t="shared" si="1"/>
        <v>Bogotá</v>
      </c>
      <c r="D929" s="16" t="str">
        <f t="shared" si="2"/>
        <v>Bogotá</v>
      </c>
      <c r="E929" s="16" t="str">
        <f t="shared" si="3"/>
        <v>Bogotá</v>
      </c>
      <c r="F929" s="16" t="s">
        <v>76</v>
      </c>
      <c r="G929" s="17" t="str">
        <f>IFERROR(__xludf.DUMMYFUNCTION("SPLIT(F929:F1928,""-"") "),"Tablet")</f>
        <v>Tablet</v>
      </c>
      <c r="H929" s="16" t="str">
        <f>IFERROR(__xludf.DUMMYFUNCTION("""COMPUTED_VALUE"""),"Mini")</f>
        <v>Mini</v>
      </c>
      <c r="I929" s="16" t="str">
        <f>IFERROR(__xludf.DUMMYFUNCTION("""COMPUTED_VALUE"""),"32GB")</f>
        <v>32GB</v>
      </c>
      <c r="J929" s="18">
        <v>494.09</v>
      </c>
      <c r="K929" s="16">
        <v>4.0</v>
      </c>
      <c r="L929" s="18">
        <v>1976.36</v>
      </c>
      <c r="M929" s="16" t="s">
        <v>3102</v>
      </c>
      <c r="N929" s="16" t="s">
        <v>3103</v>
      </c>
      <c r="O929" s="16" t="s">
        <v>3104</v>
      </c>
    </row>
    <row r="930" ht="15.75" customHeight="1">
      <c r="A930" s="19">
        <v>45592.0</v>
      </c>
      <c r="B930" s="16" t="s">
        <v>2359</v>
      </c>
      <c r="C930" s="16" t="str">
        <f t="shared" si="1"/>
        <v>Ciudad De M√©Xico</v>
      </c>
      <c r="D930" s="16" t="str">
        <f t="shared" si="2"/>
        <v>Ciudad De M√©Xico</v>
      </c>
      <c r="E930" s="16" t="str">
        <f t="shared" si="3"/>
        <v>Ciudad De MéXico</v>
      </c>
      <c r="F930" s="16" t="s">
        <v>23</v>
      </c>
      <c r="G930" s="17" t="str">
        <f>IFERROR(__xludf.DUMMYFUNCTION("SPLIT(F930:F1929,""-"") "),"Tablet")</f>
        <v>Tablet</v>
      </c>
      <c r="H930" s="16" t="str">
        <f>IFERROR(__xludf.DUMMYFUNCTION("""COMPUTED_VALUE"""),"Estándar")</f>
        <v>Estándar</v>
      </c>
      <c r="I930" s="16" t="str">
        <f>IFERROR(__xludf.DUMMYFUNCTION("""COMPUTED_VALUE"""),"16GB")</f>
        <v>16GB</v>
      </c>
      <c r="J930" s="18">
        <v>1984.42</v>
      </c>
      <c r="K930" s="16">
        <v>4.0</v>
      </c>
      <c r="L930" s="18">
        <v>7937.68</v>
      </c>
      <c r="M930" s="16" t="s">
        <v>694</v>
      </c>
      <c r="N930" s="16" t="s">
        <v>695</v>
      </c>
      <c r="O930" s="16" t="s">
        <v>696</v>
      </c>
    </row>
    <row r="931" ht="15.75" customHeight="1">
      <c r="A931" s="19">
        <v>45612.0</v>
      </c>
      <c r="B931" s="16" t="s">
        <v>14</v>
      </c>
      <c r="C931" s="16" t="str">
        <f t="shared" si="1"/>
        <v>Bogotá</v>
      </c>
      <c r="D931" s="16" t="str">
        <f t="shared" si="2"/>
        <v>Bogotá</v>
      </c>
      <c r="E931" s="16" t="str">
        <f t="shared" si="3"/>
        <v>Bogotá</v>
      </c>
      <c r="F931" s="16" t="s">
        <v>63</v>
      </c>
      <c r="G931" s="17" t="str">
        <f>IFERROR(__xludf.DUMMYFUNCTION("SPLIT(F931:F1930,""-"") "),"Laptop")</f>
        <v>Laptop</v>
      </c>
      <c r="H931" s="16" t="str">
        <f>IFERROR(__xludf.DUMMYFUNCTION("""COMPUTED_VALUE"""),"Ultraliviana")</f>
        <v>Ultraliviana</v>
      </c>
      <c r="I931" s="16" t="str">
        <f>IFERROR(__xludf.DUMMYFUNCTION("""COMPUTED_VALUE"""),"4GB")</f>
        <v>4GB</v>
      </c>
      <c r="J931" s="18">
        <v>992.95</v>
      </c>
      <c r="K931" s="16">
        <v>3.0</v>
      </c>
      <c r="L931" s="18">
        <v>2978.85</v>
      </c>
      <c r="M931" s="16" t="s">
        <v>1191</v>
      </c>
      <c r="N931" s="16" t="s">
        <v>1192</v>
      </c>
      <c r="O931" s="16" t="s">
        <v>1193</v>
      </c>
    </row>
    <row r="932" ht="15.75" customHeight="1">
      <c r="A932" s="23">
        <v>45547.0</v>
      </c>
      <c r="B932" s="16" t="s">
        <v>35</v>
      </c>
      <c r="C932" s="16" t="str">
        <f t="shared" si="1"/>
        <v>Medellín</v>
      </c>
      <c r="D932" s="16" t="str">
        <f t="shared" si="2"/>
        <v>Medellín</v>
      </c>
      <c r="E932" s="16" t="str">
        <f t="shared" si="3"/>
        <v>Medellín</v>
      </c>
      <c r="F932" s="16" t="s">
        <v>81</v>
      </c>
      <c r="G932" s="17" t="str">
        <f>IFERROR(__xludf.DUMMYFUNCTION("SPLIT(F932:F1931,""-"") "),"Laptop")</f>
        <v>Laptop</v>
      </c>
      <c r="H932" s="16" t="str">
        <f>IFERROR(__xludf.DUMMYFUNCTION("""COMPUTED_VALUE"""),"Oficina")</f>
        <v>Oficina</v>
      </c>
      <c r="I932" s="16" t="str">
        <f>IFERROR(__xludf.DUMMYFUNCTION("""COMPUTED_VALUE"""),"16GB")</f>
        <v>16GB</v>
      </c>
      <c r="J932" s="18">
        <v>2230.77</v>
      </c>
      <c r="K932" s="16">
        <v>5.0</v>
      </c>
      <c r="L932" s="18">
        <v>11153.85</v>
      </c>
      <c r="M932" s="16" t="s">
        <v>3105</v>
      </c>
      <c r="N932" s="16" t="s">
        <v>3106</v>
      </c>
      <c r="O932" s="16" t="s">
        <v>3107</v>
      </c>
    </row>
    <row r="933" ht="15.75" customHeight="1">
      <c r="A933" s="23">
        <v>45637.0</v>
      </c>
      <c r="B933" s="16" t="s">
        <v>58</v>
      </c>
      <c r="C933" s="16" t="str">
        <f t="shared" si="1"/>
        <v>Guadalajara</v>
      </c>
      <c r="D933" s="16" t="str">
        <f t="shared" si="2"/>
        <v>Guadalajara</v>
      </c>
      <c r="E933" s="16" t="str">
        <f t="shared" si="3"/>
        <v>Guadalajara</v>
      </c>
      <c r="F933" s="16" t="s">
        <v>132</v>
      </c>
      <c r="G933" s="17" t="str">
        <f>IFERROR(__xludf.DUMMYFUNCTION("SPLIT(F933:F1932,""-"") "),"Tablet")</f>
        <v>Tablet</v>
      </c>
      <c r="H933" s="16" t="str">
        <f>IFERROR(__xludf.DUMMYFUNCTION("""COMPUTED_VALUE"""),"Pro")</f>
        <v>Pro</v>
      </c>
      <c r="I933" s="16" t="str">
        <f>IFERROR(__xludf.DUMMYFUNCTION("""COMPUTED_VALUE"""),"8GB")</f>
        <v>8GB</v>
      </c>
      <c r="J933" s="18">
        <v>1203.25</v>
      </c>
      <c r="K933" s="16">
        <v>4.0</v>
      </c>
      <c r="L933" s="18">
        <v>4813.0</v>
      </c>
      <c r="M933" s="16" t="s">
        <v>1787</v>
      </c>
      <c r="N933" s="16" t="s">
        <v>1788</v>
      </c>
      <c r="O933" s="16" t="s">
        <v>1789</v>
      </c>
    </row>
    <row r="934" ht="15.75" customHeight="1">
      <c r="A934" s="23">
        <v>45516.0</v>
      </c>
      <c r="B934" s="16" t="s">
        <v>58</v>
      </c>
      <c r="C934" s="16" t="str">
        <f t="shared" si="1"/>
        <v>Guadalajara</v>
      </c>
      <c r="D934" s="16" t="str">
        <f t="shared" si="2"/>
        <v>Guadalajara</v>
      </c>
      <c r="E934" s="16" t="str">
        <f t="shared" si="3"/>
        <v>Guadalajara</v>
      </c>
      <c r="F934" s="16" t="s">
        <v>389</v>
      </c>
      <c r="G934" s="17" t="str">
        <f>IFERROR(__xludf.DUMMYFUNCTION("SPLIT(F934:F1933,""-"") "),"Auriculares")</f>
        <v>Auriculares</v>
      </c>
      <c r="H934" s="16" t="str">
        <f>IFERROR(__xludf.DUMMYFUNCTION("""COMPUTED_VALUE"""),"Cancelación de ruido")</f>
        <v>Cancelación de ruido</v>
      </c>
      <c r="I934" s="16" t="str">
        <f>IFERROR(__xludf.DUMMYFUNCTION("""COMPUTED_VALUE"""),"4GB")</f>
        <v>4GB</v>
      </c>
      <c r="J934" s="18">
        <v>1912.01</v>
      </c>
      <c r="K934" s="16">
        <v>4.0</v>
      </c>
      <c r="L934" s="18">
        <v>7648.04</v>
      </c>
      <c r="M934" s="16" t="s">
        <v>3108</v>
      </c>
      <c r="N934" s="16" t="s">
        <v>3109</v>
      </c>
      <c r="O934" s="16" t="s">
        <v>3110</v>
      </c>
    </row>
    <row r="935" ht="15.75" customHeight="1">
      <c r="A935" s="23">
        <v>45303.0</v>
      </c>
      <c r="B935" s="16" t="s">
        <v>35</v>
      </c>
      <c r="C935" s="16" t="str">
        <f t="shared" si="1"/>
        <v>Medellín</v>
      </c>
      <c r="D935" s="16" t="str">
        <f t="shared" si="2"/>
        <v>Medellín</v>
      </c>
      <c r="E935" s="16" t="str">
        <f t="shared" si="3"/>
        <v>Medellín</v>
      </c>
      <c r="F935" s="16" t="s">
        <v>163</v>
      </c>
      <c r="G935" s="17" t="str">
        <f>IFERROR(__xludf.DUMMYFUNCTION("SPLIT(F935:F1934,""-"") "),"Laptop")</f>
        <v>Laptop</v>
      </c>
      <c r="H935" s="16" t="str">
        <f>IFERROR(__xludf.DUMMYFUNCTION("""COMPUTED_VALUE"""),"Oficina")</f>
        <v>Oficina</v>
      </c>
      <c r="I935" s="16" t="str">
        <f>IFERROR(__xludf.DUMMYFUNCTION("""COMPUTED_VALUE"""),"32GB")</f>
        <v>32GB</v>
      </c>
      <c r="J935" s="18">
        <v>2049.26</v>
      </c>
      <c r="K935" s="16">
        <v>5.0</v>
      </c>
      <c r="L935" s="18">
        <v>10246.3</v>
      </c>
      <c r="M935" s="16" t="s">
        <v>3111</v>
      </c>
      <c r="N935" s="16" t="s">
        <v>3112</v>
      </c>
      <c r="O935" s="16" t="s">
        <v>3113</v>
      </c>
    </row>
    <row r="936" ht="15.75" customHeight="1">
      <c r="A936" s="23">
        <v>45363.0</v>
      </c>
      <c r="B936" s="16" t="s">
        <v>35</v>
      </c>
      <c r="C936" s="16" t="str">
        <f t="shared" si="1"/>
        <v>Medellín</v>
      </c>
      <c r="D936" s="16" t="str">
        <f t="shared" si="2"/>
        <v>Medellín</v>
      </c>
      <c r="E936" s="16" t="str">
        <f t="shared" si="3"/>
        <v>Medellín</v>
      </c>
      <c r="F936" s="16" t="s">
        <v>186</v>
      </c>
      <c r="G936" s="17" t="str">
        <f>IFERROR(__xludf.DUMMYFUNCTION("SPLIT(F936:F1935,""-"") "),"Auriculares")</f>
        <v>Auriculares</v>
      </c>
      <c r="H936" s="16" t="str">
        <f>IFERROR(__xludf.DUMMYFUNCTION("""COMPUTED_VALUE"""),"Cancelaci√≥n de ruido")</f>
        <v>Cancelaci√≥n de ruido</v>
      </c>
      <c r="I936" s="16" t="str">
        <f>IFERROR(__xludf.DUMMYFUNCTION("""COMPUTED_VALUE"""),"16GB")</f>
        <v>16GB</v>
      </c>
      <c r="J936" s="18">
        <v>1088.33</v>
      </c>
      <c r="K936" s="16">
        <v>4.0</v>
      </c>
      <c r="L936" s="18">
        <v>4353.32</v>
      </c>
      <c r="M936" s="16" t="s">
        <v>3114</v>
      </c>
      <c r="N936" s="16" t="s">
        <v>3115</v>
      </c>
      <c r="O936" s="16" t="s">
        <v>3116</v>
      </c>
    </row>
    <row r="937" ht="15.75" customHeight="1">
      <c r="A937" s="19">
        <v>45650.0</v>
      </c>
      <c r="B937" s="16" t="s">
        <v>2359</v>
      </c>
      <c r="C937" s="16" t="str">
        <f t="shared" si="1"/>
        <v>Ciudad De M√©Xico</v>
      </c>
      <c r="D937" s="16" t="str">
        <f t="shared" si="2"/>
        <v>Ciudad De M√©Xico</v>
      </c>
      <c r="E937" s="16" t="str">
        <f t="shared" si="3"/>
        <v>Ciudad De MéXico</v>
      </c>
      <c r="F937" s="16" t="s">
        <v>85</v>
      </c>
      <c r="G937" s="17" t="str">
        <f>IFERROR(__xludf.DUMMYFUNCTION("SPLIT(F937:F1936,""-"") "),"Teléfono")</f>
        <v>Teléfono</v>
      </c>
      <c r="H937" s="16" t="str">
        <f>IFERROR(__xludf.DUMMYFUNCTION("""COMPUTED_VALUE"""),"Gama media")</f>
        <v>Gama media</v>
      </c>
      <c r="I937" s="16" t="str">
        <f>IFERROR(__xludf.DUMMYFUNCTION("""COMPUTED_VALUE"""),"32GB")</f>
        <v>32GB</v>
      </c>
      <c r="J937" s="18">
        <v>1089.03</v>
      </c>
      <c r="K937" s="16">
        <v>5.0</v>
      </c>
      <c r="L937" s="18">
        <v>5445.15</v>
      </c>
      <c r="M937" s="16" t="s">
        <v>2156</v>
      </c>
      <c r="N937" s="16" t="s">
        <v>2157</v>
      </c>
      <c r="O937" s="16" t="s">
        <v>2158</v>
      </c>
    </row>
    <row r="938" ht="15.75" customHeight="1">
      <c r="A938" s="19">
        <v>45634.0</v>
      </c>
      <c r="B938" s="16" t="s">
        <v>9</v>
      </c>
      <c r="C938" s="16" t="str">
        <f t="shared" si="1"/>
        <v>Monterrey</v>
      </c>
      <c r="D938" s="16" t="str">
        <f t="shared" si="2"/>
        <v>Monterrey</v>
      </c>
      <c r="E938" s="16" t="str">
        <f t="shared" si="3"/>
        <v>Monterrey</v>
      </c>
      <c r="F938" s="16" t="s">
        <v>10</v>
      </c>
      <c r="G938" s="17" t="str">
        <f>IFERROR(__xludf.DUMMYFUNCTION("SPLIT(F938:F1937,""-"") "),"Tablet")</f>
        <v>Tablet</v>
      </c>
      <c r="H938" s="16" t="str">
        <f>IFERROR(__xludf.DUMMYFUNCTION("""COMPUTED_VALUE"""),"Estándar")</f>
        <v>Estándar</v>
      </c>
      <c r="I938" s="16" t="str">
        <f>IFERROR(__xludf.DUMMYFUNCTION("""COMPUTED_VALUE"""),"8GB")</f>
        <v>8GB</v>
      </c>
      <c r="J938" s="18">
        <v>155.7</v>
      </c>
      <c r="K938" s="16">
        <v>5.0</v>
      </c>
      <c r="L938" s="18">
        <v>778.5</v>
      </c>
      <c r="M938" s="16" t="s">
        <v>1712</v>
      </c>
      <c r="N938" s="16" t="s">
        <v>1713</v>
      </c>
      <c r="O938" s="16" t="s">
        <v>1714</v>
      </c>
    </row>
    <row r="939" ht="15.75" customHeight="1">
      <c r="A939" s="15">
        <v>45566.0</v>
      </c>
      <c r="B939" s="16" t="s">
        <v>14</v>
      </c>
      <c r="C939" s="16" t="str">
        <f t="shared" si="1"/>
        <v>Bogotá</v>
      </c>
      <c r="D939" s="16" t="str">
        <f t="shared" si="2"/>
        <v>Bogotá</v>
      </c>
      <c r="E939" s="16" t="str">
        <f t="shared" si="3"/>
        <v>Bogotá</v>
      </c>
      <c r="F939" s="16" t="s">
        <v>15</v>
      </c>
      <c r="G939" s="17" t="str">
        <f>IFERROR(__xludf.DUMMYFUNCTION("SPLIT(F939:F1938,""-"") "),"Auriculares")</f>
        <v>Auriculares</v>
      </c>
      <c r="H939" s="16" t="str">
        <f>IFERROR(__xludf.DUMMYFUNCTION("""COMPUTED_VALUE"""),"Con cable")</f>
        <v>Con cable</v>
      </c>
      <c r="I939" s="16" t="str">
        <f>IFERROR(__xludf.DUMMYFUNCTION("""COMPUTED_VALUE"""),"32GB")</f>
        <v>32GB</v>
      </c>
      <c r="J939" s="18">
        <v>716.29</v>
      </c>
      <c r="K939" s="16">
        <v>1.0</v>
      </c>
      <c r="L939" s="18">
        <v>716.29</v>
      </c>
      <c r="M939" s="16" t="s">
        <v>16</v>
      </c>
      <c r="N939" s="16" t="s">
        <v>17</v>
      </c>
      <c r="O939" s="16" t="s">
        <v>18</v>
      </c>
    </row>
    <row r="940" ht="15.75" customHeight="1">
      <c r="A940" s="19">
        <v>45578.0</v>
      </c>
      <c r="B940" s="16" t="s">
        <v>2359</v>
      </c>
      <c r="C940" s="16" t="str">
        <f t="shared" si="1"/>
        <v>Ciudad De M√©Xico</v>
      </c>
      <c r="D940" s="16" t="str">
        <f t="shared" si="2"/>
        <v>Ciudad De M√©Xico</v>
      </c>
      <c r="E940" s="16" t="str">
        <f t="shared" si="3"/>
        <v>Ciudad De MéXico</v>
      </c>
      <c r="F940" s="16" t="s">
        <v>76</v>
      </c>
      <c r="G940" s="17" t="str">
        <f>IFERROR(__xludf.DUMMYFUNCTION("SPLIT(F940:F1939,""-"") "),"Tablet")</f>
        <v>Tablet</v>
      </c>
      <c r="H940" s="16" t="str">
        <f>IFERROR(__xludf.DUMMYFUNCTION("""COMPUTED_VALUE"""),"Mini")</f>
        <v>Mini</v>
      </c>
      <c r="I940" s="16" t="str">
        <f>IFERROR(__xludf.DUMMYFUNCTION("""COMPUTED_VALUE"""),"32GB")</f>
        <v>32GB</v>
      </c>
      <c r="J940" s="18">
        <v>1922.79</v>
      </c>
      <c r="K940" s="16">
        <v>3.0</v>
      </c>
      <c r="L940" s="18">
        <v>5768.37</v>
      </c>
      <c r="M940" s="16" t="s">
        <v>206</v>
      </c>
      <c r="N940" s="16" t="s">
        <v>207</v>
      </c>
      <c r="O940" s="16" t="s">
        <v>208</v>
      </c>
    </row>
    <row r="941" ht="15.75" customHeight="1">
      <c r="A941" s="15">
        <v>45597.0</v>
      </c>
      <c r="B941" s="16" t="s">
        <v>14</v>
      </c>
      <c r="C941" s="16" t="str">
        <f t="shared" si="1"/>
        <v>Bogotá</v>
      </c>
      <c r="D941" s="16" t="str">
        <f t="shared" si="2"/>
        <v>Bogotá</v>
      </c>
      <c r="E941" s="16" t="str">
        <f t="shared" si="3"/>
        <v>Bogotá</v>
      </c>
      <c r="F941" s="16" t="s">
        <v>430</v>
      </c>
      <c r="G941" s="17" t="str">
        <f>IFERROR(__xludf.DUMMYFUNCTION("SPLIT(F941:F1940,""-"") "),"Teléfono")</f>
        <v>Teléfono</v>
      </c>
      <c r="H941" s="16" t="str">
        <f>IFERROR(__xludf.DUMMYFUNCTION("""COMPUTED_VALUE"""),"Gama alta")</f>
        <v>Gama alta</v>
      </c>
      <c r="I941" s="16" t="str">
        <f>IFERROR(__xludf.DUMMYFUNCTION("""COMPUTED_VALUE"""),"4GB")</f>
        <v>4GB</v>
      </c>
      <c r="J941" s="18">
        <v>1992.15</v>
      </c>
      <c r="K941" s="16">
        <v>2.0</v>
      </c>
      <c r="L941" s="18">
        <v>3984.3</v>
      </c>
      <c r="M941" s="16" t="s">
        <v>812</v>
      </c>
      <c r="N941" s="16" t="s">
        <v>813</v>
      </c>
      <c r="O941" s="16" t="s">
        <v>814</v>
      </c>
    </row>
    <row r="942" ht="15.75" customHeight="1">
      <c r="A942" s="19">
        <v>45656.0</v>
      </c>
      <c r="B942" s="16" t="s">
        <v>58</v>
      </c>
      <c r="C942" s="16" t="str">
        <f t="shared" si="1"/>
        <v>Guadalajara</v>
      </c>
      <c r="D942" s="16" t="str">
        <f t="shared" si="2"/>
        <v>Guadalajara</v>
      </c>
      <c r="E942" s="16" t="str">
        <f t="shared" si="3"/>
        <v>Guadalajara</v>
      </c>
      <c r="F942" s="16" t="s">
        <v>40</v>
      </c>
      <c r="G942" s="17" t="str">
        <f>IFERROR(__xludf.DUMMYFUNCTION("SPLIT(F942:F1941,""-"") "),"Auriculares")</f>
        <v>Auriculares</v>
      </c>
      <c r="H942" s="16" t="str">
        <f>IFERROR(__xludf.DUMMYFUNCTION("""COMPUTED_VALUE"""),"Con cable")</f>
        <v>Con cable</v>
      </c>
      <c r="I942" s="16" t="str">
        <f>IFERROR(__xludf.DUMMYFUNCTION("""COMPUTED_VALUE"""),"8GB")</f>
        <v>8GB</v>
      </c>
      <c r="J942" s="18">
        <v>823.08</v>
      </c>
      <c r="K942" s="16">
        <v>4.0</v>
      </c>
      <c r="L942" s="18">
        <v>3292.32</v>
      </c>
      <c r="M942" s="16" t="s">
        <v>2330</v>
      </c>
      <c r="N942" s="16" t="s">
        <v>2331</v>
      </c>
      <c r="O942" s="16" t="s">
        <v>2332</v>
      </c>
    </row>
    <row r="943" ht="15.75" customHeight="1">
      <c r="A943" s="19">
        <v>45571.0</v>
      </c>
      <c r="B943" s="16" t="s">
        <v>35</v>
      </c>
      <c r="C943" s="16" t="str">
        <f t="shared" si="1"/>
        <v>Medellín</v>
      </c>
      <c r="D943" s="16" t="str">
        <f t="shared" si="2"/>
        <v>Medellín</v>
      </c>
      <c r="E943" s="16" t="str">
        <f t="shared" si="3"/>
        <v>Medellín</v>
      </c>
      <c r="F943" s="16" t="s">
        <v>50</v>
      </c>
      <c r="G943" s="17" t="str">
        <f>IFERROR(__xludf.DUMMYFUNCTION("SPLIT(F943:F1942,""-"") "),"Tablet")</f>
        <v>Tablet</v>
      </c>
      <c r="H943" s="16" t="str">
        <f>IFERROR(__xludf.DUMMYFUNCTION("""COMPUTED_VALUE"""),"Estándar")</f>
        <v>Estándar</v>
      </c>
      <c r="I943" s="16" t="str">
        <f>IFERROR(__xludf.DUMMYFUNCTION("""COMPUTED_VALUE"""),"32GB")</f>
        <v>32GB</v>
      </c>
      <c r="J943" s="18">
        <v>1753.0</v>
      </c>
      <c r="K943" s="16">
        <v>5.0</v>
      </c>
      <c r="L943" s="18">
        <v>8765.0</v>
      </c>
      <c r="M943" s="16" t="s">
        <v>51</v>
      </c>
      <c r="N943" s="16" t="s">
        <v>52</v>
      </c>
      <c r="O943" s="16" t="s">
        <v>53</v>
      </c>
    </row>
    <row r="944" ht="15.75" customHeight="1">
      <c r="A944" s="19">
        <v>45639.0</v>
      </c>
      <c r="B944" s="16" t="s">
        <v>58</v>
      </c>
      <c r="C944" s="16" t="str">
        <f t="shared" si="1"/>
        <v>Guadalajara</v>
      </c>
      <c r="D944" s="16" t="str">
        <f t="shared" si="2"/>
        <v>Guadalajara</v>
      </c>
      <c r="E944" s="16" t="str">
        <f t="shared" si="3"/>
        <v>Guadalajara</v>
      </c>
      <c r="F944" s="16" t="s">
        <v>90</v>
      </c>
      <c r="G944" s="17" t="str">
        <f>IFERROR(__xludf.DUMMYFUNCTION("SPLIT(F944:F1943,""-"") "),"Laptop")</f>
        <v>Laptop</v>
      </c>
      <c r="H944" s="16" t="str">
        <f>IFERROR(__xludf.DUMMYFUNCTION("""COMPUTED_VALUE"""),"Gaming")</f>
        <v>Gaming</v>
      </c>
      <c r="I944" s="16" t="str">
        <f>IFERROR(__xludf.DUMMYFUNCTION("""COMPUTED_VALUE"""),"32GB")</f>
        <v>32GB</v>
      </c>
      <c r="J944" s="18">
        <v>2145.76</v>
      </c>
      <c r="K944" s="16">
        <v>5.0</v>
      </c>
      <c r="L944" s="18">
        <v>10728.8</v>
      </c>
      <c r="M944" s="16" t="s">
        <v>1821</v>
      </c>
      <c r="N944" s="16" t="s">
        <v>1822</v>
      </c>
      <c r="O944" s="16" t="s">
        <v>1823</v>
      </c>
    </row>
    <row r="945" ht="15.75" customHeight="1">
      <c r="A945" s="19">
        <v>45601.0</v>
      </c>
      <c r="B945" s="16" t="s">
        <v>58</v>
      </c>
      <c r="C945" s="16" t="str">
        <f t="shared" si="1"/>
        <v>Guadalajara</v>
      </c>
      <c r="D945" s="16" t="str">
        <f t="shared" si="2"/>
        <v>Guadalajara</v>
      </c>
      <c r="E945" s="16" t="str">
        <f t="shared" si="3"/>
        <v>Guadalajara</v>
      </c>
      <c r="F945" s="16" t="s">
        <v>292</v>
      </c>
      <c r="G945" s="17" t="str">
        <f>IFERROR(__xludf.DUMMYFUNCTION("SPLIT(F945:F1944,""-"") "),"Teléfono")</f>
        <v>Teléfono</v>
      </c>
      <c r="H945" s="16" t="str">
        <f>IFERROR(__xludf.DUMMYFUNCTION("""COMPUTED_VALUE"""),"Gama alta")</f>
        <v>Gama alta</v>
      </c>
      <c r="I945" s="16" t="str">
        <f>IFERROR(__xludf.DUMMYFUNCTION("""COMPUTED_VALUE"""),"16GB")</f>
        <v>16GB</v>
      </c>
      <c r="J945" s="18">
        <v>1826.03</v>
      </c>
      <c r="K945" s="16">
        <v>2.0</v>
      </c>
      <c r="L945" s="18">
        <v>3652.06</v>
      </c>
      <c r="M945" s="16" t="s">
        <v>858</v>
      </c>
      <c r="N945" s="16" t="s">
        <v>859</v>
      </c>
      <c r="O945" s="16" t="s">
        <v>860</v>
      </c>
    </row>
    <row r="946" ht="15.75" customHeight="1">
      <c r="A946" s="15">
        <v>45591.0</v>
      </c>
      <c r="B946" s="16" t="s">
        <v>35</v>
      </c>
      <c r="C946" s="16" t="str">
        <f t="shared" si="1"/>
        <v>Medellín</v>
      </c>
      <c r="D946" s="16" t="str">
        <f t="shared" si="2"/>
        <v>Medellín</v>
      </c>
      <c r="E946" s="16" t="str">
        <f t="shared" si="3"/>
        <v>Medellín</v>
      </c>
      <c r="F946" s="16" t="s">
        <v>666</v>
      </c>
      <c r="G946" s="17" t="str">
        <f>IFERROR(__xludf.DUMMYFUNCTION("SPLIT(F946:F1945,""-"") "),"Auriculares")</f>
        <v>Auriculares</v>
      </c>
      <c r="H946" s="16" t="str">
        <f>IFERROR(__xludf.DUMMYFUNCTION("""COMPUTED_VALUE"""),"Cancelación de ruido")</f>
        <v>Cancelación de ruido</v>
      </c>
      <c r="I946" s="16" t="str">
        <f>IFERROR(__xludf.DUMMYFUNCTION("""COMPUTED_VALUE"""),"32GB")</f>
        <v>32GB</v>
      </c>
      <c r="J946" s="18">
        <v>174.28</v>
      </c>
      <c r="K946" s="16">
        <v>1.0</v>
      </c>
      <c r="L946" s="18">
        <v>174.28</v>
      </c>
      <c r="M946" s="16" t="s">
        <v>667</v>
      </c>
      <c r="N946" s="16" t="s">
        <v>668</v>
      </c>
      <c r="O946" s="16" t="s">
        <v>669</v>
      </c>
    </row>
    <row r="947" ht="15.75" customHeight="1">
      <c r="A947" s="19">
        <v>45651.0</v>
      </c>
      <c r="B947" s="16" t="s">
        <v>75</v>
      </c>
      <c r="C947" s="16" t="str">
        <f t="shared" si="1"/>
        <v>Cali</v>
      </c>
      <c r="D947" s="16" t="str">
        <f t="shared" si="2"/>
        <v>Cali</v>
      </c>
      <c r="E947" s="16" t="str">
        <f t="shared" si="3"/>
        <v>Cali</v>
      </c>
      <c r="F947" s="16" t="s">
        <v>233</v>
      </c>
      <c r="G947" s="17" t="str">
        <f>IFERROR(__xludf.DUMMYFUNCTION("SPLIT(F947:F1946,""-"") "),"Tablet")</f>
        <v>Tablet</v>
      </c>
      <c r="H947" s="16" t="str">
        <f>IFERROR(__xludf.DUMMYFUNCTION("""COMPUTED_VALUE"""),"Mini")</f>
        <v>Mini</v>
      </c>
      <c r="I947" s="16" t="str">
        <f>IFERROR(__xludf.DUMMYFUNCTION("""COMPUTED_VALUE"""),"16GB")</f>
        <v>16GB</v>
      </c>
      <c r="J947" s="18">
        <v>648.35</v>
      </c>
      <c r="K947" s="16">
        <v>5.0</v>
      </c>
      <c r="L947" s="18">
        <v>3241.75</v>
      </c>
      <c r="M947" s="16" t="s">
        <v>2186</v>
      </c>
      <c r="N947" s="16" t="s">
        <v>2187</v>
      </c>
      <c r="O947" s="16" t="s">
        <v>2188</v>
      </c>
    </row>
    <row r="948" ht="15.75" customHeight="1">
      <c r="A948" s="19">
        <v>45612.0</v>
      </c>
      <c r="B948" s="16" t="s">
        <v>35</v>
      </c>
      <c r="C948" s="16" t="str">
        <f t="shared" si="1"/>
        <v>Medellín</v>
      </c>
      <c r="D948" s="16" t="str">
        <f t="shared" si="2"/>
        <v>Medellín</v>
      </c>
      <c r="E948" s="16" t="str">
        <f t="shared" si="3"/>
        <v>Medellín</v>
      </c>
      <c r="F948" s="16" t="s">
        <v>666</v>
      </c>
      <c r="G948" s="17" t="str">
        <f>IFERROR(__xludf.DUMMYFUNCTION("SPLIT(F948:F1947,""-"") "),"Auriculares")</f>
        <v>Auriculares</v>
      </c>
      <c r="H948" s="16" t="str">
        <f>IFERROR(__xludf.DUMMYFUNCTION("""COMPUTED_VALUE"""),"Cancelación de ruido")</f>
        <v>Cancelación de ruido</v>
      </c>
      <c r="I948" s="16" t="str">
        <f>IFERROR(__xludf.DUMMYFUNCTION("""COMPUTED_VALUE"""),"32GB")</f>
        <v>32GB</v>
      </c>
      <c r="J948" s="18">
        <v>456.65</v>
      </c>
      <c r="K948" s="16">
        <v>2.0</v>
      </c>
      <c r="L948" s="18">
        <v>913.3</v>
      </c>
      <c r="M948" s="16" t="s">
        <v>1194</v>
      </c>
      <c r="N948" s="16" t="s">
        <v>1195</v>
      </c>
      <c r="O948" s="16" t="s">
        <v>1196</v>
      </c>
    </row>
    <row r="949" ht="15.75" customHeight="1">
      <c r="A949" s="19">
        <v>45633.0</v>
      </c>
      <c r="B949" s="16" t="s">
        <v>2359</v>
      </c>
      <c r="C949" s="16" t="str">
        <f t="shared" si="1"/>
        <v>Ciudad De M√©Xico</v>
      </c>
      <c r="D949" s="16" t="str">
        <f t="shared" si="2"/>
        <v>Ciudad De M√©Xico</v>
      </c>
      <c r="E949" s="16" t="str">
        <f t="shared" si="3"/>
        <v>Ciudad De MéXico</v>
      </c>
      <c r="F949" s="16" t="s">
        <v>319</v>
      </c>
      <c r="G949" s="17" t="str">
        <f>IFERROR(__xludf.DUMMYFUNCTION("SPLIT(F949:F1948,""-"") "),"Tablet")</f>
        <v>Tablet</v>
      </c>
      <c r="H949" s="16" t="str">
        <f>IFERROR(__xludf.DUMMYFUNCTION("""COMPUTED_VALUE"""),"Pro")</f>
        <v>Pro</v>
      </c>
      <c r="I949" s="16" t="str">
        <f>IFERROR(__xludf.DUMMYFUNCTION("""COMPUTED_VALUE"""),"32GB")</f>
        <v>32GB</v>
      </c>
      <c r="J949" s="18">
        <v>1566.88</v>
      </c>
      <c r="K949" s="16">
        <v>3.0</v>
      </c>
      <c r="L949" s="18">
        <v>4700.64</v>
      </c>
      <c r="M949" s="16" t="s">
        <v>1706</v>
      </c>
      <c r="N949" s="16" t="s">
        <v>1707</v>
      </c>
      <c r="O949" s="16" t="s">
        <v>1708</v>
      </c>
    </row>
    <row r="950" ht="15.75" customHeight="1">
      <c r="A950" s="19">
        <v>45620.0</v>
      </c>
      <c r="B950" s="16" t="s">
        <v>9</v>
      </c>
      <c r="C950" s="16" t="str">
        <f t="shared" si="1"/>
        <v>Monterrey</v>
      </c>
      <c r="D950" s="16" t="str">
        <f t="shared" si="2"/>
        <v>Monterrey</v>
      </c>
      <c r="E950" s="16" t="str">
        <f t="shared" si="3"/>
        <v>Monterrey</v>
      </c>
      <c r="F950" s="16" t="s">
        <v>430</v>
      </c>
      <c r="G950" s="17" t="str">
        <f>IFERROR(__xludf.DUMMYFUNCTION("SPLIT(F950:F1949,""-"") "),"Teléfono")</f>
        <v>Teléfono</v>
      </c>
      <c r="H950" s="16" t="str">
        <f>IFERROR(__xludf.DUMMYFUNCTION("""COMPUTED_VALUE"""),"Gama alta")</f>
        <v>Gama alta</v>
      </c>
      <c r="I950" s="16" t="str">
        <f>IFERROR(__xludf.DUMMYFUNCTION("""COMPUTED_VALUE"""),"4GB")</f>
        <v>4GB</v>
      </c>
      <c r="J950" s="18">
        <v>1880.14</v>
      </c>
      <c r="K950" s="16">
        <v>1.0</v>
      </c>
      <c r="L950" s="18">
        <v>1880.14</v>
      </c>
      <c r="M950" s="16" t="s">
        <v>1459</v>
      </c>
      <c r="N950" s="16" t="s">
        <v>1460</v>
      </c>
      <c r="O950" s="16" t="s">
        <v>1461</v>
      </c>
    </row>
    <row r="951" ht="15.75" customHeight="1">
      <c r="A951" s="15">
        <v>45580.0</v>
      </c>
      <c r="B951" s="16" t="s">
        <v>35</v>
      </c>
      <c r="C951" s="16" t="str">
        <f t="shared" si="1"/>
        <v>Medellín</v>
      </c>
      <c r="D951" s="16" t="str">
        <f t="shared" si="2"/>
        <v>Medellín</v>
      </c>
      <c r="E951" s="16" t="str">
        <f t="shared" si="3"/>
        <v>Medellín</v>
      </c>
      <c r="F951" s="16" t="s">
        <v>311</v>
      </c>
      <c r="G951" s="17" t="str">
        <f>IFERROR(__xludf.DUMMYFUNCTION("SPLIT(F951:F1950,""-"") "),"Laptop")</f>
        <v>Laptop</v>
      </c>
      <c r="H951" s="16" t="str">
        <f>IFERROR(__xludf.DUMMYFUNCTION("""COMPUTED_VALUE"""),"Ultraliviana")</f>
        <v>Ultraliviana</v>
      </c>
      <c r="I951" s="16" t="str">
        <f>IFERROR(__xludf.DUMMYFUNCTION("""COMPUTED_VALUE"""),"32GB")</f>
        <v>32GB</v>
      </c>
      <c r="J951" s="18">
        <v>2377.34</v>
      </c>
      <c r="K951" s="16">
        <v>2.0</v>
      </c>
      <c r="L951" s="18">
        <v>4754.68</v>
      </c>
      <c r="M951" s="16" t="s">
        <v>312</v>
      </c>
      <c r="N951" s="16" t="s">
        <v>313</v>
      </c>
      <c r="O951" s="16" t="s">
        <v>314</v>
      </c>
    </row>
    <row r="952" ht="15.75" customHeight="1">
      <c r="A952" s="19">
        <v>45655.0</v>
      </c>
      <c r="B952" s="16" t="s">
        <v>9</v>
      </c>
      <c r="C952" s="16" t="str">
        <f t="shared" si="1"/>
        <v>Monterrey</v>
      </c>
      <c r="D952" s="16" t="str">
        <f t="shared" si="2"/>
        <v>Monterrey</v>
      </c>
      <c r="E952" s="16" t="str">
        <f t="shared" si="3"/>
        <v>Monterrey</v>
      </c>
      <c r="F952" s="16" t="s">
        <v>186</v>
      </c>
      <c r="G952" s="17" t="str">
        <f>IFERROR(__xludf.DUMMYFUNCTION("SPLIT(F952:F1951,""-"") "),"Auriculares")</f>
        <v>Auriculares</v>
      </c>
      <c r="H952" s="16" t="str">
        <f>IFERROR(__xludf.DUMMYFUNCTION("""COMPUTED_VALUE"""),"Cancelaci√≥n de ruido")</f>
        <v>Cancelaci√≥n de ruido</v>
      </c>
      <c r="I952" s="16" t="str">
        <f>IFERROR(__xludf.DUMMYFUNCTION("""COMPUTED_VALUE"""),"16GB")</f>
        <v>16GB</v>
      </c>
      <c r="J952" s="18">
        <v>1811.9</v>
      </c>
      <c r="K952" s="16">
        <v>1.0</v>
      </c>
      <c r="L952" s="18">
        <v>1811.9</v>
      </c>
      <c r="M952" s="16" t="s">
        <v>2309</v>
      </c>
      <c r="N952" s="16" t="s">
        <v>2310</v>
      </c>
      <c r="O952" s="16" t="s">
        <v>2311</v>
      </c>
    </row>
    <row r="953" ht="15.75" customHeight="1">
      <c r="A953" s="19">
        <v>45617.0</v>
      </c>
      <c r="B953" s="16" t="s">
        <v>14</v>
      </c>
      <c r="C953" s="16" t="str">
        <f t="shared" si="1"/>
        <v>Bogotá</v>
      </c>
      <c r="D953" s="16" t="str">
        <f t="shared" si="2"/>
        <v>Bogotá</v>
      </c>
      <c r="E953" s="16" t="str">
        <f t="shared" si="3"/>
        <v>Bogotá</v>
      </c>
      <c r="F953" s="16" t="s">
        <v>389</v>
      </c>
      <c r="G953" s="17" t="str">
        <f>IFERROR(__xludf.DUMMYFUNCTION("SPLIT(F953:F1952,""-"") "),"Auriculares")</f>
        <v>Auriculares</v>
      </c>
      <c r="H953" s="16" t="str">
        <f>IFERROR(__xludf.DUMMYFUNCTION("""COMPUTED_VALUE"""),"Cancelación de ruido")</f>
        <v>Cancelación de ruido</v>
      </c>
      <c r="I953" s="16" t="str">
        <f>IFERROR(__xludf.DUMMYFUNCTION("""COMPUTED_VALUE"""),"4GB")</f>
        <v>4GB</v>
      </c>
      <c r="J953" s="18">
        <v>1160.21</v>
      </c>
      <c r="K953" s="16">
        <v>2.0</v>
      </c>
      <c r="L953" s="18">
        <v>2320.42</v>
      </c>
      <c r="M953" s="16" t="s">
        <v>1365</v>
      </c>
      <c r="N953" s="16" t="s">
        <v>1366</v>
      </c>
      <c r="O953" s="16" t="s">
        <v>1367</v>
      </c>
    </row>
    <row r="954" ht="15.75" customHeight="1">
      <c r="A954" s="19">
        <v>45589.0</v>
      </c>
      <c r="B954" s="16" t="s">
        <v>2359</v>
      </c>
      <c r="C954" s="16" t="str">
        <f t="shared" si="1"/>
        <v>Ciudad De M√©Xico</v>
      </c>
      <c r="D954" s="16" t="str">
        <f t="shared" si="2"/>
        <v>Ciudad De M√©Xico</v>
      </c>
      <c r="E954" s="16" t="str">
        <f t="shared" si="3"/>
        <v>Ciudad De MéXico</v>
      </c>
      <c r="F954" s="16" t="s">
        <v>10</v>
      </c>
      <c r="G954" s="17" t="str">
        <f>IFERROR(__xludf.DUMMYFUNCTION("SPLIT(F954:F1953,""-"") "),"Tablet")</f>
        <v>Tablet</v>
      </c>
      <c r="H954" s="16" t="str">
        <f>IFERROR(__xludf.DUMMYFUNCTION("""COMPUTED_VALUE"""),"Estándar")</f>
        <v>Estándar</v>
      </c>
      <c r="I954" s="16" t="str">
        <f>IFERROR(__xludf.DUMMYFUNCTION("""COMPUTED_VALUE"""),"8GB")</f>
        <v>8GB</v>
      </c>
      <c r="J954" s="22">
        <f>(L954/K954) </f>
        <v>743.39</v>
      </c>
      <c r="K954" s="16">
        <v>5.0</v>
      </c>
      <c r="L954" s="18">
        <v>3716.95</v>
      </c>
      <c r="M954" s="16" t="s">
        <v>614</v>
      </c>
      <c r="N954" s="16" t="s">
        <v>615</v>
      </c>
      <c r="O954" s="16" t="s">
        <v>616</v>
      </c>
    </row>
    <row r="955" ht="15.75" customHeight="1">
      <c r="A955" s="15">
        <v>45643.0</v>
      </c>
      <c r="B955" s="16" t="s">
        <v>14</v>
      </c>
      <c r="C955" s="16" t="str">
        <f t="shared" si="1"/>
        <v>Bogotá</v>
      </c>
      <c r="D955" s="16" t="str">
        <f t="shared" si="2"/>
        <v>Bogotá</v>
      </c>
      <c r="E955" s="16" t="str">
        <f t="shared" si="3"/>
        <v>Bogotá</v>
      </c>
      <c r="F955" s="16" t="s">
        <v>311</v>
      </c>
      <c r="G955" s="17" t="str">
        <f>IFERROR(__xludf.DUMMYFUNCTION("SPLIT(F955:F1954,""-"") "),"Laptop")</f>
        <v>Laptop</v>
      </c>
      <c r="H955" s="16" t="str">
        <f>IFERROR(__xludf.DUMMYFUNCTION("""COMPUTED_VALUE"""),"Ultraliviana")</f>
        <v>Ultraliviana</v>
      </c>
      <c r="I955" s="16" t="str">
        <f>IFERROR(__xludf.DUMMYFUNCTION("""COMPUTED_VALUE"""),"32GB")</f>
        <v>32GB</v>
      </c>
      <c r="J955" s="18">
        <v>1698.28</v>
      </c>
      <c r="K955" s="16">
        <v>3.0</v>
      </c>
      <c r="L955" s="18">
        <v>5094.84</v>
      </c>
      <c r="M955" s="16" t="s">
        <v>1933</v>
      </c>
      <c r="N955" s="16" t="s">
        <v>1934</v>
      </c>
      <c r="O955" s="16" t="s">
        <v>1935</v>
      </c>
    </row>
    <row r="956" ht="15.75" customHeight="1">
      <c r="A956" s="19">
        <v>45629.0</v>
      </c>
      <c r="B956" s="16" t="s">
        <v>75</v>
      </c>
      <c r="C956" s="16" t="str">
        <f t="shared" si="1"/>
        <v>Cali</v>
      </c>
      <c r="D956" s="16" t="str">
        <f t="shared" si="2"/>
        <v>Cali</v>
      </c>
      <c r="E956" s="16" t="str">
        <f t="shared" si="3"/>
        <v>Cali</v>
      </c>
      <c r="F956" s="16" t="s">
        <v>344</v>
      </c>
      <c r="G956" s="17" t="str">
        <f>IFERROR(__xludf.DUMMYFUNCTION("SPLIT(F956:F1955,""-"") "),"Laptop")</f>
        <v>Laptop</v>
      </c>
      <c r="H956" s="16" t="str">
        <f>IFERROR(__xludf.DUMMYFUNCTION("""COMPUTED_VALUE"""),"Ultraliviana")</f>
        <v>Ultraliviana</v>
      </c>
      <c r="I956" s="16" t="str">
        <f>IFERROR(__xludf.DUMMYFUNCTION("""COMPUTED_VALUE"""),"8GB")</f>
        <v>8GB</v>
      </c>
      <c r="J956" s="18">
        <v>690.26</v>
      </c>
      <c r="K956" s="16">
        <v>4.0</v>
      </c>
      <c r="L956" s="18">
        <v>2761.04</v>
      </c>
      <c r="M956" s="16" t="s">
        <v>1661</v>
      </c>
      <c r="N956" s="16" t="s">
        <v>1662</v>
      </c>
      <c r="O956" s="16" t="s">
        <v>1663</v>
      </c>
    </row>
    <row r="957" ht="15.75" customHeight="1">
      <c r="A957" s="19">
        <v>45583.0</v>
      </c>
      <c r="B957" s="16" t="s">
        <v>35</v>
      </c>
      <c r="C957" s="16" t="str">
        <f t="shared" si="1"/>
        <v>Medellín</v>
      </c>
      <c r="D957" s="16" t="str">
        <f t="shared" si="2"/>
        <v>Medellín</v>
      </c>
      <c r="E957" s="16" t="str">
        <f t="shared" si="3"/>
        <v>Medellín</v>
      </c>
      <c r="F957" s="16" t="s">
        <v>23</v>
      </c>
      <c r="G957" s="17" t="str">
        <f>IFERROR(__xludf.DUMMYFUNCTION("SPLIT(F957:F1956,""-"") "),"Tablet")</f>
        <v>Tablet</v>
      </c>
      <c r="H957" s="16" t="str">
        <f>IFERROR(__xludf.DUMMYFUNCTION("""COMPUTED_VALUE"""),"Estándar")</f>
        <v>Estándar</v>
      </c>
      <c r="I957" s="16" t="str">
        <f>IFERROR(__xludf.DUMMYFUNCTION("""COMPUTED_VALUE"""),"16GB")</f>
        <v>16GB</v>
      </c>
      <c r="J957" s="18">
        <v>1034.4</v>
      </c>
      <c r="K957" s="16">
        <v>1.0</v>
      </c>
      <c r="L957" s="18">
        <v>1034.4</v>
      </c>
      <c r="M957" s="16" t="s">
        <v>421</v>
      </c>
      <c r="N957" s="16" t="s">
        <v>422</v>
      </c>
      <c r="O957" s="16" t="s">
        <v>423</v>
      </c>
    </row>
    <row r="958" ht="15.75" customHeight="1">
      <c r="A958" s="19">
        <v>45615.0</v>
      </c>
      <c r="B958" s="16" t="s">
        <v>2359</v>
      </c>
      <c r="C958" s="16" t="str">
        <f t="shared" si="1"/>
        <v>Ciudad De M√©Xico</v>
      </c>
      <c r="D958" s="16" t="str">
        <f t="shared" si="2"/>
        <v>Ciudad De M√©Xico</v>
      </c>
      <c r="E958" s="16" t="str">
        <f t="shared" si="3"/>
        <v>Ciudad De MéXico</v>
      </c>
      <c r="F958" s="16" t="s">
        <v>40</v>
      </c>
      <c r="G958" s="17" t="str">
        <f>IFERROR(__xludf.DUMMYFUNCTION("SPLIT(F958:F1957,""-"") "),"Auriculares")</f>
        <v>Auriculares</v>
      </c>
      <c r="H958" s="16" t="str">
        <f>IFERROR(__xludf.DUMMYFUNCTION("""COMPUTED_VALUE"""),"Con cable")</f>
        <v>Con cable</v>
      </c>
      <c r="I958" s="16" t="str">
        <f>IFERROR(__xludf.DUMMYFUNCTION("""COMPUTED_VALUE"""),"8GB")</f>
        <v>8GB</v>
      </c>
      <c r="J958" s="18">
        <v>1868.8</v>
      </c>
      <c r="K958" s="16">
        <v>2.0</v>
      </c>
      <c r="L958" s="18">
        <v>3737.6</v>
      </c>
      <c r="M958" s="16" t="s">
        <v>1296</v>
      </c>
      <c r="N958" s="16" t="s">
        <v>1297</v>
      </c>
      <c r="O958" s="16" t="s">
        <v>1298</v>
      </c>
    </row>
    <row r="959" ht="15.75" customHeight="1">
      <c r="A959" s="15">
        <v>45588.0</v>
      </c>
      <c r="B959" s="16" t="s">
        <v>14</v>
      </c>
      <c r="C959" s="16" t="str">
        <f t="shared" si="1"/>
        <v>Bogotá</v>
      </c>
      <c r="D959" s="16" t="str">
        <f t="shared" si="2"/>
        <v>Bogotá</v>
      </c>
      <c r="E959" s="16" t="str">
        <f t="shared" si="3"/>
        <v>Bogotá</v>
      </c>
      <c r="F959" s="16" t="s">
        <v>574</v>
      </c>
      <c r="G959" s="17" t="str">
        <f>IFERROR(__xludf.DUMMYFUNCTION("SPLIT(F959:F1958,""-"") "),"Tablet")</f>
        <v>Tablet</v>
      </c>
      <c r="H959" s="16" t="str">
        <f>IFERROR(__xludf.DUMMYFUNCTION("""COMPUTED_VALUE"""),"Mini")</f>
        <v>Mini</v>
      </c>
      <c r="I959" s="16" t="str">
        <f>IFERROR(__xludf.DUMMYFUNCTION("""COMPUTED_VALUE"""),"16GB ")</f>
        <v>16GB </v>
      </c>
      <c r="J959" s="18">
        <v>1817.8</v>
      </c>
      <c r="K959" s="16">
        <v>3.0</v>
      </c>
      <c r="L959" s="18">
        <v>5453.4</v>
      </c>
      <c r="M959" s="16" t="s">
        <v>575</v>
      </c>
      <c r="N959" s="16" t="s">
        <v>576</v>
      </c>
      <c r="O959" s="16" t="s">
        <v>577</v>
      </c>
    </row>
    <row r="960" ht="15.75" customHeight="1">
      <c r="A960" s="19">
        <v>45606.0</v>
      </c>
      <c r="B960" s="16" t="s">
        <v>9</v>
      </c>
      <c r="C960" s="16" t="str">
        <f t="shared" si="1"/>
        <v>Monterrey</v>
      </c>
      <c r="D960" s="16" t="str">
        <f t="shared" si="2"/>
        <v>Monterrey</v>
      </c>
      <c r="E960" s="16" t="str">
        <f t="shared" si="3"/>
        <v>Monterrey</v>
      </c>
      <c r="F960" s="16" t="s">
        <v>282</v>
      </c>
      <c r="G960" s="17" t="str">
        <f>IFERROR(__xludf.DUMMYFUNCTION("SPLIT(F960:F1959,""-"") "),"Tablet")</f>
        <v>Tablet</v>
      </c>
      <c r="H960" s="16" t="str">
        <f>IFERROR(__xludf.DUMMYFUNCTION("""COMPUTED_VALUE"""),"Pro")</f>
        <v>Pro</v>
      </c>
      <c r="I960" s="16" t="str">
        <f>IFERROR(__xludf.DUMMYFUNCTION("""COMPUTED_VALUE"""),"16GB")</f>
        <v>16GB</v>
      </c>
      <c r="J960" s="18">
        <v>1384.09</v>
      </c>
      <c r="K960" s="16">
        <v>2.0</v>
      </c>
      <c r="L960" s="18">
        <v>2768.18</v>
      </c>
      <c r="M960" s="16" t="s">
        <v>969</v>
      </c>
      <c r="N960" s="16" t="s">
        <v>970</v>
      </c>
      <c r="O960" s="16" t="s">
        <v>971</v>
      </c>
    </row>
    <row r="961" ht="15.75" customHeight="1">
      <c r="A961" s="19">
        <v>45581.0</v>
      </c>
      <c r="B961" s="16" t="s">
        <v>35</v>
      </c>
      <c r="C961" s="16" t="str">
        <f t="shared" si="1"/>
        <v>Medellín</v>
      </c>
      <c r="D961" s="16" t="str">
        <f t="shared" si="2"/>
        <v>Medellín</v>
      </c>
      <c r="E961" s="16" t="str">
        <f t="shared" si="3"/>
        <v>Medellín</v>
      </c>
      <c r="F961" s="16" t="s">
        <v>344</v>
      </c>
      <c r="G961" s="17" t="str">
        <f>IFERROR(__xludf.DUMMYFUNCTION("SPLIT(F961:F1960,""-"") "),"Laptop")</f>
        <v>Laptop</v>
      </c>
      <c r="H961" s="16" t="str">
        <f>IFERROR(__xludf.DUMMYFUNCTION("""COMPUTED_VALUE"""),"Ultraliviana")</f>
        <v>Ultraliviana</v>
      </c>
      <c r="I961" s="16" t="str">
        <f>IFERROR(__xludf.DUMMYFUNCTION("""COMPUTED_VALUE"""),"8GB")</f>
        <v>8GB</v>
      </c>
      <c r="J961" s="18">
        <v>259.75</v>
      </c>
      <c r="K961" s="16">
        <v>4.0</v>
      </c>
      <c r="L961" s="18">
        <v>1039.0</v>
      </c>
      <c r="M961" s="16" t="s">
        <v>348</v>
      </c>
      <c r="N961" s="16" t="s">
        <v>349</v>
      </c>
      <c r="O961" s="16" t="s">
        <v>350</v>
      </c>
    </row>
    <row r="962" ht="15.75" customHeight="1">
      <c r="A962" s="15">
        <v>45650.0</v>
      </c>
      <c r="B962" s="16" t="s">
        <v>35</v>
      </c>
      <c r="C962" s="16" t="str">
        <f t="shared" si="1"/>
        <v>Medellín</v>
      </c>
      <c r="D962" s="16" t="str">
        <f t="shared" si="2"/>
        <v>Medellín</v>
      </c>
      <c r="E962" s="16" t="str">
        <f t="shared" si="3"/>
        <v>Medellín</v>
      </c>
      <c r="F962" s="16" t="s">
        <v>233</v>
      </c>
      <c r="G962" s="17" t="str">
        <f>IFERROR(__xludf.DUMMYFUNCTION("SPLIT(F962:F1961,""-"") "),"Tablet")</f>
        <v>Tablet</v>
      </c>
      <c r="H962" s="16" t="str">
        <f>IFERROR(__xludf.DUMMYFUNCTION("""COMPUTED_VALUE"""),"Mini")</f>
        <v>Mini</v>
      </c>
      <c r="I962" s="16" t="str">
        <f>IFERROR(__xludf.DUMMYFUNCTION("""COMPUTED_VALUE"""),"16GB")</f>
        <v>16GB</v>
      </c>
      <c r="J962" s="18">
        <v>500.74</v>
      </c>
      <c r="K962" s="16">
        <v>4.0</v>
      </c>
      <c r="L962" s="18">
        <v>2002.96</v>
      </c>
      <c r="M962" s="16" t="s">
        <v>2159</v>
      </c>
      <c r="N962" s="16" t="s">
        <v>2160</v>
      </c>
      <c r="O962" s="16" t="s">
        <v>2161</v>
      </c>
    </row>
    <row r="963" ht="15.75" customHeight="1">
      <c r="A963" s="19">
        <v>45630.0</v>
      </c>
      <c r="B963" s="16" t="s">
        <v>89</v>
      </c>
      <c r="C963" s="16" t="str">
        <f t="shared" si="1"/>
        <v>Tulum</v>
      </c>
      <c r="D963" s="16" t="str">
        <f t="shared" si="2"/>
        <v>Tulum</v>
      </c>
      <c r="E963" s="16" t="str">
        <f t="shared" si="3"/>
        <v>Tulum</v>
      </c>
      <c r="F963" s="16" t="s">
        <v>292</v>
      </c>
      <c r="G963" s="17" t="str">
        <f>IFERROR(__xludf.DUMMYFUNCTION("SPLIT(F963:F1962,""-"") "),"Teléfono")</f>
        <v>Teléfono</v>
      </c>
      <c r="H963" s="16" t="str">
        <f>IFERROR(__xludf.DUMMYFUNCTION("""COMPUTED_VALUE"""),"Gama alta")</f>
        <v>Gama alta</v>
      </c>
      <c r="I963" s="16" t="str">
        <f>IFERROR(__xludf.DUMMYFUNCTION("""COMPUTED_VALUE"""),"16GB")</f>
        <v>16GB</v>
      </c>
      <c r="J963" s="18">
        <v>1113.91</v>
      </c>
      <c r="K963" s="16">
        <v>2.0</v>
      </c>
      <c r="L963" s="18">
        <v>2227.82</v>
      </c>
      <c r="M963" s="16" t="s">
        <v>1673</v>
      </c>
      <c r="N963" s="16" t="s">
        <v>1674</v>
      </c>
      <c r="O963" s="16" t="s">
        <v>1675</v>
      </c>
    </row>
    <row r="964" ht="15.75" customHeight="1">
      <c r="A964" s="19">
        <v>45610.0</v>
      </c>
      <c r="B964" s="16" t="s">
        <v>9</v>
      </c>
      <c r="C964" s="16" t="str">
        <f t="shared" si="1"/>
        <v>Monterrey</v>
      </c>
      <c r="D964" s="16" t="str">
        <f t="shared" si="2"/>
        <v>Monterrey</v>
      </c>
      <c r="E964" s="16" t="str">
        <f t="shared" si="3"/>
        <v>Monterrey</v>
      </c>
      <c r="F964" s="16" t="s">
        <v>1103</v>
      </c>
      <c r="G964" s="17" t="str">
        <f>IFERROR(__xludf.DUMMYFUNCTION("SPLIT(F964:F1963,""-"") "),"Auriculares")</f>
        <v>Auriculares</v>
      </c>
      <c r="H964" s="16" t="str">
        <f>IFERROR(__xludf.DUMMYFUNCTION("""COMPUTED_VALUE"""),"Bluetooth")</f>
        <v>Bluetooth</v>
      </c>
      <c r="I964" s="16" t="str">
        <f>IFERROR(__xludf.DUMMYFUNCTION("""COMPUTED_VALUE"""),"8GB ")</f>
        <v>8GB </v>
      </c>
      <c r="J964" s="18">
        <v>2474.36</v>
      </c>
      <c r="K964" s="16">
        <v>2.0</v>
      </c>
      <c r="L964" s="18">
        <v>4948.72</v>
      </c>
      <c r="M964" s="16" t="s">
        <v>1104</v>
      </c>
      <c r="N964" s="16" t="s">
        <v>1105</v>
      </c>
      <c r="O964" s="16" t="s">
        <v>1106</v>
      </c>
    </row>
    <row r="965" ht="15.75" customHeight="1">
      <c r="A965" s="15">
        <v>45632.0</v>
      </c>
      <c r="B965" s="16" t="s">
        <v>14</v>
      </c>
      <c r="C965" s="16" t="str">
        <f t="shared" si="1"/>
        <v>Bogotá</v>
      </c>
      <c r="D965" s="16" t="str">
        <f t="shared" si="2"/>
        <v>Bogotá</v>
      </c>
      <c r="E965" s="16" t="str">
        <f t="shared" si="3"/>
        <v>Bogotá</v>
      </c>
      <c r="F965" s="16" t="s">
        <v>369</v>
      </c>
      <c r="G965" s="17" t="str">
        <f>IFERROR(__xludf.DUMMYFUNCTION("SPLIT(F965:F1964,""-"") "),"Auriculares")</f>
        <v>Auriculares</v>
      </c>
      <c r="H965" s="16" t="str">
        <f>IFERROR(__xludf.DUMMYFUNCTION("""COMPUTED_VALUE"""),"Con cable")</f>
        <v>Con cable</v>
      </c>
      <c r="I965" s="16" t="str">
        <f>IFERROR(__xludf.DUMMYFUNCTION("""COMPUTED_VALUE"""),"4GB")</f>
        <v>4GB</v>
      </c>
      <c r="J965" s="18">
        <v>1440.56</v>
      </c>
      <c r="K965" s="16">
        <v>1.0</v>
      </c>
      <c r="L965" s="18">
        <v>1440.56</v>
      </c>
      <c r="M965" s="16" t="s">
        <v>1697</v>
      </c>
      <c r="N965" s="16" t="s">
        <v>1698</v>
      </c>
      <c r="O965" s="16" t="s">
        <v>1699</v>
      </c>
    </row>
    <row r="966" ht="15.75" customHeight="1">
      <c r="A966" s="19">
        <v>45586.0</v>
      </c>
      <c r="B966" s="16" t="s">
        <v>35</v>
      </c>
      <c r="C966" s="16" t="str">
        <f t="shared" si="1"/>
        <v>Medellín</v>
      </c>
      <c r="D966" s="16" t="str">
        <f t="shared" si="2"/>
        <v>Medellín</v>
      </c>
      <c r="E966" s="16" t="str">
        <f t="shared" si="3"/>
        <v>Medellín</v>
      </c>
      <c r="F966" s="16" t="s">
        <v>272</v>
      </c>
      <c r="G966" s="17" t="str">
        <f>IFERROR(__xludf.DUMMYFUNCTION("SPLIT(F966:F1965,""-"") "),"Teléfono")</f>
        <v>Teléfono</v>
      </c>
      <c r="H966" s="16" t="str">
        <f>IFERROR(__xludf.DUMMYFUNCTION("""COMPUTED_VALUE"""),"Gama baja")</f>
        <v>Gama baja</v>
      </c>
      <c r="I966" s="16" t="str">
        <f>IFERROR(__xludf.DUMMYFUNCTION("""COMPUTED_VALUE"""),"32GB")</f>
        <v>32GB</v>
      </c>
      <c r="J966" s="18">
        <v>72.75</v>
      </c>
      <c r="K966" s="16">
        <v>3.0</v>
      </c>
      <c r="L966" s="18">
        <v>218.25</v>
      </c>
      <c r="M966" s="16" t="s">
        <v>504</v>
      </c>
      <c r="N966" s="16" t="s">
        <v>505</v>
      </c>
      <c r="O966" s="16" t="s">
        <v>506</v>
      </c>
    </row>
    <row r="967" ht="15.75" customHeight="1">
      <c r="A967" s="15">
        <v>45618.0</v>
      </c>
      <c r="B967" s="16" t="s">
        <v>14</v>
      </c>
      <c r="C967" s="16" t="str">
        <f t="shared" si="1"/>
        <v>Bogotá</v>
      </c>
      <c r="D967" s="16" t="str">
        <f t="shared" si="2"/>
        <v>Bogotá</v>
      </c>
      <c r="E967" s="16" t="str">
        <f t="shared" si="3"/>
        <v>Bogotá</v>
      </c>
      <c r="F967" s="16" t="s">
        <v>10</v>
      </c>
      <c r="G967" s="17" t="str">
        <f>IFERROR(__xludf.DUMMYFUNCTION("SPLIT(F967:F1966,""-"") "),"Tablet")</f>
        <v>Tablet</v>
      </c>
      <c r="H967" s="16" t="str">
        <f>IFERROR(__xludf.DUMMYFUNCTION("""COMPUTED_VALUE"""),"Estándar")</f>
        <v>Estándar</v>
      </c>
      <c r="I967" s="16" t="str">
        <f>IFERROR(__xludf.DUMMYFUNCTION("""COMPUTED_VALUE"""),"8GB")</f>
        <v>8GB</v>
      </c>
      <c r="J967" s="18">
        <v>776.93</v>
      </c>
      <c r="K967" s="16">
        <v>1.0</v>
      </c>
      <c r="L967" s="18">
        <v>776.93</v>
      </c>
      <c r="M967" s="16" t="s">
        <v>1404</v>
      </c>
      <c r="N967" s="16" t="s">
        <v>1405</v>
      </c>
      <c r="O967" s="16" t="s">
        <v>1406</v>
      </c>
    </row>
    <row r="968" ht="15.75" customHeight="1">
      <c r="A968" s="19">
        <v>45640.0</v>
      </c>
      <c r="B968" s="16" t="s">
        <v>58</v>
      </c>
      <c r="C968" s="16" t="str">
        <f t="shared" si="1"/>
        <v>Guadalajara</v>
      </c>
      <c r="D968" s="16" t="str">
        <f t="shared" si="2"/>
        <v>Guadalajara</v>
      </c>
      <c r="E968" s="16" t="str">
        <f t="shared" si="3"/>
        <v>Guadalajara</v>
      </c>
      <c r="F968" s="16" t="s">
        <v>399</v>
      </c>
      <c r="G968" s="17" t="str">
        <f>IFERROR(__xludf.DUMMYFUNCTION("SPLIT(F968:F1967,""-"") "),"Laptop")</f>
        <v>Laptop</v>
      </c>
      <c r="H968" s="16" t="str">
        <f>IFERROR(__xludf.DUMMYFUNCTION("""COMPUTED_VALUE"""),"Gaming")</f>
        <v>Gaming</v>
      </c>
      <c r="I968" s="16" t="str">
        <f>IFERROR(__xludf.DUMMYFUNCTION("""COMPUTED_VALUE"""),"4GB")</f>
        <v>4GB</v>
      </c>
      <c r="J968" s="18">
        <v>997.09</v>
      </c>
      <c r="K968" s="16">
        <v>2.0</v>
      </c>
      <c r="L968" s="18">
        <v>1994.18</v>
      </c>
      <c r="M968" s="16" t="s">
        <v>1846</v>
      </c>
      <c r="N968" s="16" t="s">
        <v>1847</v>
      </c>
      <c r="O968" s="16" t="s">
        <v>1848</v>
      </c>
    </row>
    <row r="969" ht="15.75" customHeight="1">
      <c r="A969" s="15">
        <v>45642.0</v>
      </c>
      <c r="B969" s="16" t="s">
        <v>9</v>
      </c>
      <c r="C969" s="16" t="str">
        <f t="shared" si="1"/>
        <v>Monterrey</v>
      </c>
      <c r="D969" s="16" t="str">
        <f t="shared" si="2"/>
        <v>Monterrey</v>
      </c>
      <c r="E969" s="16" t="str">
        <f t="shared" si="3"/>
        <v>Monterrey</v>
      </c>
      <c r="F969" s="16" t="s">
        <v>90</v>
      </c>
      <c r="G969" s="17" t="str">
        <f>IFERROR(__xludf.DUMMYFUNCTION("SPLIT(F969:F1968,""-"") "),"Laptop")</f>
        <v>Laptop</v>
      </c>
      <c r="H969" s="16" t="str">
        <f>IFERROR(__xludf.DUMMYFUNCTION("""COMPUTED_VALUE"""),"Gaming")</f>
        <v>Gaming</v>
      </c>
      <c r="I969" s="16" t="str">
        <f>IFERROR(__xludf.DUMMYFUNCTION("""COMPUTED_VALUE"""),"32GB")</f>
        <v>32GB</v>
      </c>
      <c r="J969" s="18">
        <v>842.36</v>
      </c>
      <c r="K969" s="16">
        <v>5.0</v>
      </c>
      <c r="L969" s="18">
        <v>4211.8</v>
      </c>
      <c r="M969" s="16" t="s">
        <v>1909</v>
      </c>
      <c r="N969" s="16" t="s">
        <v>1910</v>
      </c>
      <c r="O969" s="16" t="s">
        <v>1911</v>
      </c>
    </row>
    <row r="970" ht="15.75" customHeight="1">
      <c r="A970" s="19">
        <v>45582.0</v>
      </c>
      <c r="B970" s="16" t="s">
        <v>75</v>
      </c>
      <c r="C970" s="16" t="str">
        <f t="shared" si="1"/>
        <v>Cali</v>
      </c>
      <c r="D970" s="16" t="str">
        <f t="shared" si="2"/>
        <v>Cali</v>
      </c>
      <c r="E970" s="16" t="str">
        <f t="shared" si="3"/>
        <v>Cali</v>
      </c>
      <c r="F970" s="16" t="s">
        <v>319</v>
      </c>
      <c r="G970" s="17" t="str">
        <f>IFERROR(__xludf.DUMMYFUNCTION("SPLIT(F970:F1969,""-"") "),"Tablet")</f>
        <v>Tablet</v>
      </c>
      <c r="H970" s="16" t="str">
        <f>IFERROR(__xludf.DUMMYFUNCTION("""COMPUTED_VALUE"""),"Pro")</f>
        <v>Pro</v>
      </c>
      <c r="I970" s="16" t="str">
        <f>IFERROR(__xludf.DUMMYFUNCTION("""COMPUTED_VALUE"""),"32GB")</f>
        <v>32GB</v>
      </c>
      <c r="J970" s="18">
        <v>228.78</v>
      </c>
      <c r="K970" s="16">
        <v>1.0</v>
      </c>
      <c r="L970" s="18">
        <v>228.78</v>
      </c>
      <c r="M970" s="16" t="s">
        <v>383</v>
      </c>
      <c r="N970" s="16" t="s">
        <v>384</v>
      </c>
      <c r="O970" s="16" t="s">
        <v>385</v>
      </c>
    </row>
    <row r="971" ht="15.75" customHeight="1">
      <c r="A971" s="15">
        <v>45590.0</v>
      </c>
      <c r="B971" s="16" t="s">
        <v>58</v>
      </c>
      <c r="C971" s="16" t="str">
        <f t="shared" si="1"/>
        <v>Guadalajara</v>
      </c>
      <c r="D971" s="16" t="str">
        <f t="shared" si="2"/>
        <v>Guadalajara</v>
      </c>
      <c r="E971" s="16" t="str">
        <f t="shared" si="3"/>
        <v>Guadalajara</v>
      </c>
      <c r="F971" s="16" t="s">
        <v>59</v>
      </c>
      <c r="G971" s="17" t="str">
        <f>IFERROR(__xludf.DUMMYFUNCTION("SPLIT(F971:F1970,""-"") "),"Auriculares")</f>
        <v>Auriculares</v>
      </c>
      <c r="H971" s="16" t="str">
        <f>IFERROR(__xludf.DUMMYFUNCTION("""COMPUTED_VALUE"""),"Bluetooth")</f>
        <v>Bluetooth</v>
      </c>
      <c r="I971" s="16" t="str">
        <f>IFERROR(__xludf.DUMMYFUNCTION("""COMPUTED_VALUE"""),"4GB")</f>
        <v>4GB</v>
      </c>
      <c r="J971" s="18">
        <v>2382.64</v>
      </c>
      <c r="K971" s="16">
        <v>4.0</v>
      </c>
      <c r="L971" s="18">
        <v>9530.56</v>
      </c>
      <c r="M971" s="16" t="s">
        <v>638</v>
      </c>
      <c r="N971" s="16" t="s">
        <v>639</v>
      </c>
      <c r="O971" s="16" t="s">
        <v>640</v>
      </c>
    </row>
    <row r="972" ht="15.75" customHeight="1">
      <c r="A972" s="15">
        <v>45605.0</v>
      </c>
      <c r="B972" s="16" t="s">
        <v>89</v>
      </c>
      <c r="C972" s="16" t="str">
        <f t="shared" si="1"/>
        <v>Tulum</v>
      </c>
      <c r="D972" s="16" t="str">
        <f t="shared" si="2"/>
        <v>Tulum</v>
      </c>
      <c r="E972" s="16" t="str">
        <f t="shared" si="3"/>
        <v>Tulum</v>
      </c>
      <c r="F972" s="16" t="s">
        <v>389</v>
      </c>
      <c r="G972" s="17" t="str">
        <f>IFERROR(__xludf.DUMMYFUNCTION("SPLIT(F972:F1971,""-"") "),"Auriculares")</f>
        <v>Auriculares</v>
      </c>
      <c r="H972" s="16" t="str">
        <f>IFERROR(__xludf.DUMMYFUNCTION("""COMPUTED_VALUE"""),"Cancelación de ruido")</f>
        <v>Cancelación de ruido</v>
      </c>
      <c r="I972" s="16" t="str">
        <f>IFERROR(__xludf.DUMMYFUNCTION("""COMPUTED_VALUE"""),"4GB")</f>
        <v>4GB</v>
      </c>
      <c r="J972" s="18">
        <v>1111.98</v>
      </c>
      <c r="K972" s="16">
        <v>4.0</v>
      </c>
      <c r="L972" s="18">
        <v>4447.92</v>
      </c>
      <c r="M972" s="16" t="s">
        <v>912</v>
      </c>
      <c r="N972" s="16" t="s">
        <v>913</v>
      </c>
      <c r="O972" s="16" t="s">
        <v>914</v>
      </c>
    </row>
    <row r="973" ht="15.75" customHeight="1">
      <c r="A973" s="19">
        <v>45649.0</v>
      </c>
      <c r="B973" s="16" t="s">
        <v>9</v>
      </c>
      <c r="C973" s="16" t="str">
        <f t="shared" si="1"/>
        <v>Monterrey</v>
      </c>
      <c r="D973" s="16" t="str">
        <f t="shared" si="2"/>
        <v>Monterrey</v>
      </c>
      <c r="E973" s="16" t="str">
        <f t="shared" si="3"/>
        <v>Monterrey</v>
      </c>
      <c r="F973" s="16" t="s">
        <v>319</v>
      </c>
      <c r="G973" s="17" t="str">
        <f>IFERROR(__xludf.DUMMYFUNCTION("SPLIT(F973:F1972,""-"") "),"Tablet")</f>
        <v>Tablet</v>
      </c>
      <c r="H973" s="16" t="str">
        <f>IFERROR(__xludf.DUMMYFUNCTION("""COMPUTED_VALUE"""),"Pro")</f>
        <v>Pro</v>
      </c>
      <c r="I973" s="16" t="str">
        <f>IFERROR(__xludf.DUMMYFUNCTION("""COMPUTED_VALUE"""),"32GB")</f>
        <v>32GB</v>
      </c>
      <c r="J973" s="18">
        <v>1148.92</v>
      </c>
      <c r="K973" s="16">
        <v>4.0</v>
      </c>
      <c r="L973" s="18">
        <v>4595.68</v>
      </c>
      <c r="M973" s="16" t="s">
        <v>2126</v>
      </c>
      <c r="N973" s="16" t="s">
        <v>2127</v>
      </c>
      <c r="O973" s="16" t="s">
        <v>2128</v>
      </c>
    </row>
    <row r="974" ht="15.75" customHeight="1">
      <c r="A974" s="15">
        <v>45584.0</v>
      </c>
      <c r="B974" s="16" t="s">
        <v>58</v>
      </c>
      <c r="C974" s="16" t="str">
        <f t="shared" si="1"/>
        <v>Guadalajara</v>
      </c>
      <c r="D974" s="16" t="str">
        <f t="shared" si="2"/>
        <v>Guadalajara</v>
      </c>
      <c r="E974" s="16" t="str">
        <f t="shared" si="3"/>
        <v>Guadalajara</v>
      </c>
      <c r="F974" s="16" t="s">
        <v>36</v>
      </c>
      <c r="G974" s="17" t="str">
        <f>IFERROR(__xludf.DUMMYFUNCTION("SPLIT(F974:F1973,""-"") "),"Tablet")</f>
        <v>Tablet</v>
      </c>
      <c r="H974" s="16" t="str">
        <f>IFERROR(__xludf.DUMMYFUNCTION("""COMPUTED_VALUE"""),"Pro")</f>
        <v>Pro</v>
      </c>
      <c r="I974" s="16" t="str">
        <f>IFERROR(__xludf.DUMMYFUNCTION("""COMPUTED_VALUE"""),"4GB")</f>
        <v>4GB</v>
      </c>
      <c r="J974" s="18">
        <v>1279.5</v>
      </c>
      <c r="K974" s="16">
        <v>2.0</v>
      </c>
      <c r="L974" s="18">
        <v>2559.0</v>
      </c>
      <c r="M974" s="16" t="s">
        <v>455</v>
      </c>
      <c r="N974" s="16" t="s">
        <v>456</v>
      </c>
      <c r="O974" s="16" t="s">
        <v>457</v>
      </c>
    </row>
    <row r="975" ht="15.75" customHeight="1">
      <c r="A975" s="19">
        <v>45608.0</v>
      </c>
      <c r="B975" s="16" t="s">
        <v>58</v>
      </c>
      <c r="C975" s="16" t="str">
        <f t="shared" si="1"/>
        <v>Guadalajara</v>
      </c>
      <c r="D975" s="16" t="str">
        <f t="shared" si="2"/>
        <v>Guadalajara</v>
      </c>
      <c r="E975" s="16" t="str">
        <f t="shared" si="3"/>
        <v>Guadalajara</v>
      </c>
      <c r="F975" s="16" t="s">
        <v>23</v>
      </c>
      <c r="G975" s="17" t="str">
        <f>IFERROR(__xludf.DUMMYFUNCTION("SPLIT(F975:F1974,""-"") "),"Tablet")</f>
        <v>Tablet</v>
      </c>
      <c r="H975" s="16" t="str">
        <f>IFERROR(__xludf.DUMMYFUNCTION("""COMPUTED_VALUE"""),"Estándar")</f>
        <v>Estándar</v>
      </c>
      <c r="I975" s="16" t="str">
        <f>IFERROR(__xludf.DUMMYFUNCTION("""COMPUTED_VALUE"""),"16GB")</f>
        <v>16GB</v>
      </c>
      <c r="J975" s="18">
        <v>424.12</v>
      </c>
      <c r="K975" s="16">
        <v>2.0</v>
      </c>
      <c r="L975" s="18">
        <v>848.24</v>
      </c>
      <c r="M975" s="16" t="s">
        <v>1033</v>
      </c>
      <c r="N975" s="16" t="s">
        <v>1034</v>
      </c>
      <c r="O975" s="16" t="s">
        <v>1035</v>
      </c>
    </row>
    <row r="976" ht="15.75" customHeight="1">
      <c r="A976" s="19">
        <v>45654.0</v>
      </c>
      <c r="B976" s="16" t="s">
        <v>58</v>
      </c>
      <c r="C976" s="16" t="str">
        <f t="shared" si="1"/>
        <v>Guadalajara</v>
      </c>
      <c r="D976" s="16" t="str">
        <f t="shared" si="2"/>
        <v>Guadalajara</v>
      </c>
      <c r="E976" s="16" t="str">
        <f t="shared" si="3"/>
        <v>Guadalajara</v>
      </c>
      <c r="F976" s="16" t="s">
        <v>167</v>
      </c>
      <c r="G976" s="17" t="str">
        <f>IFERROR(__xludf.DUMMYFUNCTION("SPLIT(F976:F1975,""-"") "),"Auriculares")</f>
        <v>Auriculares</v>
      </c>
      <c r="H976" s="16" t="str">
        <f>IFERROR(__xludf.DUMMYFUNCTION("""COMPUTED_VALUE"""),"Bluetooth")</f>
        <v>Bluetooth</v>
      </c>
      <c r="I976" s="16" t="str">
        <f>IFERROR(__xludf.DUMMYFUNCTION("""COMPUTED_VALUE"""),"32GB")</f>
        <v>32GB</v>
      </c>
      <c r="J976" s="18">
        <v>1088.66</v>
      </c>
      <c r="K976" s="16">
        <v>4.0</v>
      </c>
      <c r="L976" s="18">
        <v>4354.64</v>
      </c>
      <c r="M976" s="16" t="s">
        <v>2270</v>
      </c>
      <c r="N976" s="16" t="s">
        <v>2271</v>
      </c>
      <c r="O976" s="16" t="s">
        <v>2272</v>
      </c>
    </row>
    <row r="977" ht="15.75" customHeight="1">
      <c r="A977" s="15">
        <v>45578.0</v>
      </c>
      <c r="B977" s="16" t="s">
        <v>14</v>
      </c>
      <c r="C977" s="16" t="str">
        <f t="shared" si="1"/>
        <v>Bogotá</v>
      </c>
      <c r="D977" s="16" t="str">
        <f t="shared" si="2"/>
        <v>Bogotá</v>
      </c>
      <c r="E977" s="16" t="str">
        <f t="shared" si="3"/>
        <v>Bogotá</v>
      </c>
      <c r="F977" s="16" t="s">
        <v>132</v>
      </c>
      <c r="G977" s="17" t="str">
        <f>IFERROR(__xludf.DUMMYFUNCTION("SPLIT(F977:F1976,""-"") "),"Tablet")</f>
        <v>Tablet</v>
      </c>
      <c r="H977" s="16" t="str">
        <f>IFERROR(__xludf.DUMMYFUNCTION("""COMPUTED_VALUE"""),"Pro")</f>
        <v>Pro</v>
      </c>
      <c r="I977" s="16" t="str">
        <f>IFERROR(__xludf.DUMMYFUNCTION("""COMPUTED_VALUE"""),"8GB")</f>
        <v>8GB</v>
      </c>
      <c r="J977" s="22">
        <f>(L977/K977) </f>
        <v>2214.98</v>
      </c>
      <c r="K977" s="16">
        <v>2.0</v>
      </c>
      <c r="L977" s="18">
        <v>4429.96</v>
      </c>
      <c r="M977" s="16" t="s">
        <v>209</v>
      </c>
      <c r="N977" s="16" t="s">
        <v>210</v>
      </c>
      <c r="O977" s="16" t="s">
        <v>211</v>
      </c>
    </row>
    <row r="978" ht="15.75" customHeight="1">
      <c r="A978" s="19">
        <v>45652.0</v>
      </c>
      <c r="B978" s="16" t="s">
        <v>58</v>
      </c>
      <c r="C978" s="16" t="str">
        <f t="shared" si="1"/>
        <v>Guadalajara</v>
      </c>
      <c r="D978" s="16" t="str">
        <f t="shared" si="2"/>
        <v>Guadalajara</v>
      </c>
      <c r="E978" s="16" t="str">
        <f t="shared" si="3"/>
        <v>Guadalajara</v>
      </c>
      <c r="F978" s="16" t="s">
        <v>373</v>
      </c>
      <c r="G978" s="17" t="str">
        <f>IFERROR(__xludf.DUMMYFUNCTION("SPLIT(F978:F1977,""-"") "),"Teléfono")</f>
        <v>Teléfono</v>
      </c>
      <c r="H978" s="16" t="str">
        <f>IFERROR(__xludf.DUMMYFUNCTION("""COMPUTED_VALUE"""),"Gama media")</f>
        <v>Gama media</v>
      </c>
      <c r="I978" s="16" t="str">
        <f>IFERROR(__xludf.DUMMYFUNCTION("""COMPUTED_VALUE"""),"16GB")</f>
        <v>16GB</v>
      </c>
      <c r="J978" s="18">
        <v>173.36</v>
      </c>
      <c r="K978" s="16">
        <v>2.0</v>
      </c>
      <c r="L978" s="18">
        <v>346.72</v>
      </c>
      <c r="M978" s="16" t="s">
        <v>2210</v>
      </c>
      <c r="N978" s="16" t="s">
        <v>2211</v>
      </c>
      <c r="O978" s="16" t="s">
        <v>2212</v>
      </c>
    </row>
    <row r="979" ht="15.75" customHeight="1">
      <c r="A979" s="15">
        <v>45626.0</v>
      </c>
      <c r="B979" s="16" t="s">
        <v>35</v>
      </c>
      <c r="C979" s="16" t="str">
        <f t="shared" si="1"/>
        <v>Medellín</v>
      </c>
      <c r="D979" s="16" t="str">
        <f t="shared" si="2"/>
        <v>Medellín</v>
      </c>
      <c r="E979" s="16" t="str">
        <f t="shared" si="3"/>
        <v>Medellín</v>
      </c>
      <c r="F979" s="16" t="s">
        <v>229</v>
      </c>
      <c r="G979" s="17" t="str">
        <f>IFERROR(__xludf.DUMMYFUNCTION("SPLIT(F979:F1978,""-"") "),"Laptop")</f>
        <v>Laptop</v>
      </c>
      <c r="H979" s="16" t="str">
        <f>IFERROR(__xludf.DUMMYFUNCTION("""COMPUTED_VALUE"""),"Oficina")</f>
        <v>Oficina</v>
      </c>
      <c r="I979" s="16" t="str">
        <f>IFERROR(__xludf.DUMMYFUNCTION("""COMPUTED_VALUE"""),"4GB")</f>
        <v>4GB</v>
      </c>
      <c r="J979" s="18">
        <v>1560.05</v>
      </c>
      <c r="K979" s="16">
        <v>1.0</v>
      </c>
      <c r="L979" s="18">
        <v>1560.05</v>
      </c>
      <c r="M979" s="16" t="s">
        <v>1630</v>
      </c>
      <c r="N979" s="16" t="s">
        <v>1631</v>
      </c>
      <c r="O979" s="16" t="s">
        <v>1632</v>
      </c>
    </row>
    <row r="980" ht="15.75" customHeight="1">
      <c r="A980" s="19">
        <v>45646.0</v>
      </c>
      <c r="B980" s="16" t="s">
        <v>58</v>
      </c>
      <c r="C980" s="16" t="str">
        <f t="shared" si="1"/>
        <v>Guadalajara</v>
      </c>
      <c r="D980" s="16" t="str">
        <f t="shared" si="2"/>
        <v>Guadalajara</v>
      </c>
      <c r="E980" s="16" t="str">
        <f t="shared" si="3"/>
        <v>Guadalajara</v>
      </c>
      <c r="F980" s="16" t="s">
        <v>139</v>
      </c>
      <c r="G980" s="17" t="str">
        <f>IFERROR(__xludf.DUMMYFUNCTION("SPLIT(F980:F1979,""-"") "),"Auriculares")</f>
        <v>Auriculares</v>
      </c>
      <c r="H980" s="16" t="str">
        <f>IFERROR(__xludf.DUMMYFUNCTION("""COMPUTED_VALUE"""),"Con cable")</f>
        <v>Con cable</v>
      </c>
      <c r="I980" s="16" t="str">
        <f>IFERROR(__xludf.DUMMYFUNCTION("""COMPUTED_VALUE"""),"16GB")</f>
        <v>16GB</v>
      </c>
      <c r="J980" s="18">
        <v>2114.97</v>
      </c>
      <c r="K980" s="16">
        <v>1.0</v>
      </c>
      <c r="L980" s="18">
        <v>2114.97</v>
      </c>
      <c r="M980" s="16" t="s">
        <v>2029</v>
      </c>
      <c r="N980" s="16" t="s">
        <v>2030</v>
      </c>
      <c r="O980" s="16" t="s">
        <v>2031</v>
      </c>
    </row>
    <row r="981" ht="15.75" customHeight="1">
      <c r="A981" s="15">
        <v>45576.0</v>
      </c>
      <c r="B981" s="16" t="s">
        <v>75</v>
      </c>
      <c r="C981" s="16" t="str">
        <f t="shared" si="1"/>
        <v>Cali</v>
      </c>
      <c r="D981" s="16" t="str">
        <f t="shared" si="2"/>
        <v>Cali</v>
      </c>
      <c r="E981" s="16" t="str">
        <f t="shared" si="3"/>
        <v>Cali</v>
      </c>
      <c r="F981" s="16" t="s">
        <v>76</v>
      </c>
      <c r="G981" s="17" t="str">
        <f>IFERROR(__xludf.DUMMYFUNCTION("SPLIT(F981:F1980,""-"") "),"Tablet")</f>
        <v>Tablet</v>
      </c>
      <c r="H981" s="16" t="str">
        <f>IFERROR(__xludf.DUMMYFUNCTION("""COMPUTED_VALUE"""),"Mini")</f>
        <v>Mini</v>
      </c>
      <c r="I981" s="16" t="str">
        <f>IFERROR(__xludf.DUMMYFUNCTION("""COMPUTED_VALUE"""),"32GB")</f>
        <v>32GB</v>
      </c>
      <c r="J981" s="18">
        <v>1578.34</v>
      </c>
      <c r="K981" s="16">
        <v>3.0</v>
      </c>
      <c r="L981" s="18">
        <v>4735.02</v>
      </c>
      <c r="M981" s="16" t="s">
        <v>143</v>
      </c>
      <c r="N981" s="16" t="s">
        <v>144</v>
      </c>
      <c r="O981" s="16" t="s">
        <v>145</v>
      </c>
    </row>
    <row r="982" ht="15.75" customHeight="1">
      <c r="A982" s="15">
        <v>45604.0</v>
      </c>
      <c r="B982" s="16" t="s">
        <v>35</v>
      </c>
      <c r="C982" s="16" t="str">
        <f t="shared" si="1"/>
        <v>Medellín</v>
      </c>
      <c r="D982" s="16" t="str">
        <f t="shared" si="2"/>
        <v>Medellín</v>
      </c>
      <c r="E982" s="16" t="str">
        <f t="shared" si="3"/>
        <v>Medellín</v>
      </c>
      <c r="F982" s="16" t="s">
        <v>272</v>
      </c>
      <c r="G982" s="17" t="str">
        <f>IFERROR(__xludf.DUMMYFUNCTION("SPLIT(F982:F1981,""-"") "),"Teléfono")</f>
        <v>Teléfono</v>
      </c>
      <c r="H982" s="16" t="str">
        <f>IFERROR(__xludf.DUMMYFUNCTION("""COMPUTED_VALUE"""),"Gama baja")</f>
        <v>Gama baja</v>
      </c>
      <c r="I982" s="16" t="str">
        <f>IFERROR(__xludf.DUMMYFUNCTION("""COMPUTED_VALUE"""),"32GB")</f>
        <v>32GB</v>
      </c>
      <c r="J982" s="18">
        <v>427.92</v>
      </c>
      <c r="K982" s="16">
        <v>2.0</v>
      </c>
      <c r="L982" s="18">
        <v>855.84</v>
      </c>
      <c r="M982" s="16" t="s">
        <v>900</v>
      </c>
      <c r="N982" s="16" t="s">
        <v>901</v>
      </c>
      <c r="O982" s="16" t="s">
        <v>902</v>
      </c>
    </row>
    <row r="983" ht="15.75" customHeight="1">
      <c r="A983" s="19">
        <v>45631.0</v>
      </c>
      <c r="B983" s="16" t="s">
        <v>75</v>
      </c>
      <c r="C983" s="16" t="str">
        <f t="shared" si="1"/>
        <v>Cali</v>
      </c>
      <c r="D983" s="16" t="str">
        <f t="shared" si="2"/>
        <v>Cali</v>
      </c>
      <c r="E983" s="16" t="str">
        <f t="shared" si="3"/>
        <v>Cali</v>
      </c>
      <c r="F983" s="16" t="s">
        <v>282</v>
      </c>
      <c r="G983" s="17" t="str">
        <f>IFERROR(__xludf.DUMMYFUNCTION("SPLIT(F983:F1982,""-"") "),"Tablet")</f>
        <v>Tablet</v>
      </c>
      <c r="H983" s="16" t="str">
        <f>IFERROR(__xludf.DUMMYFUNCTION("""COMPUTED_VALUE"""),"Pro")</f>
        <v>Pro</v>
      </c>
      <c r="I983" s="16" t="str">
        <f>IFERROR(__xludf.DUMMYFUNCTION("""COMPUTED_VALUE"""),"16GB")</f>
        <v>16GB</v>
      </c>
      <c r="J983" s="18">
        <v>1742.12</v>
      </c>
      <c r="K983" s="16">
        <v>4.0</v>
      </c>
      <c r="L983" s="18">
        <v>6968.48</v>
      </c>
      <c r="M983" s="16" t="s">
        <v>1688</v>
      </c>
      <c r="N983" s="16" t="s">
        <v>1689</v>
      </c>
      <c r="O983" s="16" t="s">
        <v>1690</v>
      </c>
    </row>
    <row r="984" ht="15.75" customHeight="1">
      <c r="A984" s="15">
        <v>45603.0</v>
      </c>
      <c r="B984" s="16" t="s">
        <v>14</v>
      </c>
      <c r="C984" s="16" t="str">
        <f t="shared" si="1"/>
        <v>Bogotá</v>
      </c>
      <c r="D984" s="16" t="str">
        <f t="shared" si="2"/>
        <v>Bogotá</v>
      </c>
      <c r="E984" s="16" t="str">
        <f t="shared" si="3"/>
        <v>Bogotá</v>
      </c>
      <c r="F984" s="16" t="s">
        <v>59</v>
      </c>
      <c r="G984" s="17" t="str">
        <f>IFERROR(__xludf.DUMMYFUNCTION("SPLIT(F984:F1983,""-"") "),"Auriculares")</f>
        <v>Auriculares</v>
      </c>
      <c r="H984" s="16" t="str">
        <f>IFERROR(__xludf.DUMMYFUNCTION("""COMPUTED_VALUE"""),"Bluetooth")</f>
        <v>Bluetooth</v>
      </c>
      <c r="I984" s="16" t="str">
        <f>IFERROR(__xludf.DUMMYFUNCTION("""COMPUTED_VALUE"""),"4GB")</f>
        <v>4GB</v>
      </c>
      <c r="J984" s="18">
        <v>841.48</v>
      </c>
      <c r="K984" s="16">
        <v>2.0</v>
      </c>
      <c r="L984" s="18">
        <v>1682.96</v>
      </c>
      <c r="M984" s="16" t="s">
        <v>888</v>
      </c>
      <c r="N984" s="16" t="s">
        <v>889</v>
      </c>
      <c r="O984" s="16" t="s">
        <v>890</v>
      </c>
    </row>
    <row r="985" ht="15.75" customHeight="1">
      <c r="A985" s="15">
        <v>45636.0</v>
      </c>
      <c r="B985" s="16" t="s">
        <v>2359</v>
      </c>
      <c r="C985" s="16" t="str">
        <f t="shared" si="1"/>
        <v>Ciudad De M√©Xico</v>
      </c>
      <c r="D985" s="16" t="str">
        <f t="shared" si="2"/>
        <v>Ciudad De M√©Xico</v>
      </c>
      <c r="E985" s="16" t="str">
        <f t="shared" si="3"/>
        <v>Ciudad De MéXico</v>
      </c>
      <c r="F985" s="16" t="s">
        <v>171</v>
      </c>
      <c r="G985" s="17" t="str">
        <f>IFERROR(__xludf.DUMMYFUNCTION("SPLIT(F985:F1984,""-"") "),"Teléfono")</f>
        <v>Teléfono</v>
      </c>
      <c r="H985" s="16" t="str">
        <f>IFERROR(__xludf.DUMMYFUNCTION("""COMPUTED_VALUE"""),"Gama baja")</f>
        <v>Gama baja</v>
      </c>
      <c r="I985" s="16" t="str">
        <f>IFERROR(__xludf.DUMMYFUNCTION("""COMPUTED_VALUE"""),"4GB")</f>
        <v>4GB</v>
      </c>
      <c r="J985" s="18">
        <v>173.92</v>
      </c>
      <c r="K985" s="16">
        <v>3.0</v>
      </c>
      <c r="L985" s="18">
        <v>521.76</v>
      </c>
      <c r="M985" s="16" t="s">
        <v>1757</v>
      </c>
      <c r="N985" s="16" t="s">
        <v>1758</v>
      </c>
      <c r="O985" s="16" t="s">
        <v>1759</v>
      </c>
    </row>
    <row r="986" ht="15.75" customHeight="1">
      <c r="A986" s="19">
        <v>45579.0</v>
      </c>
      <c r="B986" s="16" t="s">
        <v>35</v>
      </c>
      <c r="C986" s="16" t="str">
        <f t="shared" si="1"/>
        <v>Medellín</v>
      </c>
      <c r="D986" s="16" t="str">
        <f t="shared" si="2"/>
        <v>Medellín</v>
      </c>
      <c r="E986" s="16" t="str">
        <f t="shared" si="3"/>
        <v>Medellín</v>
      </c>
      <c r="F986" s="16" t="s">
        <v>182</v>
      </c>
      <c r="G986" s="17" t="str">
        <f>IFERROR(__xludf.DUMMYFUNCTION("SPLIT(F986:F1985,""-"") "),"Tablet")</f>
        <v>Tablet</v>
      </c>
      <c r="H986" s="16" t="str">
        <f>IFERROR(__xludf.DUMMYFUNCTION("""COMPUTED_VALUE"""),"Mini")</f>
        <v>Mini</v>
      </c>
      <c r="I986" s="16" t="str">
        <f>IFERROR(__xludf.DUMMYFUNCTION("""COMPUTED_VALUE"""),"4GB")</f>
        <v>4GB</v>
      </c>
      <c r="J986" s="18">
        <v>796.49</v>
      </c>
      <c r="K986" s="16">
        <v>3.0</v>
      </c>
      <c r="L986" s="18">
        <v>2389.47</v>
      </c>
      <c r="M986" s="16" t="s">
        <v>249</v>
      </c>
      <c r="N986" s="16" t="s">
        <v>250</v>
      </c>
      <c r="O986" s="16" t="s">
        <v>251</v>
      </c>
    </row>
    <row r="987" ht="15.75" customHeight="1">
      <c r="A987" s="15">
        <v>45616.0</v>
      </c>
      <c r="B987" s="16" t="s">
        <v>9</v>
      </c>
      <c r="C987" s="16" t="str">
        <f t="shared" si="1"/>
        <v>Monterrey</v>
      </c>
      <c r="D987" s="16" t="str">
        <f t="shared" si="2"/>
        <v>Monterrey</v>
      </c>
      <c r="E987" s="16" t="str">
        <f t="shared" si="3"/>
        <v>Monterrey</v>
      </c>
      <c r="F987" s="16" t="s">
        <v>225</v>
      </c>
      <c r="G987" s="17" t="str">
        <f>IFERROR(__xludf.DUMMYFUNCTION("SPLIT(F987:F1986,""-"") "),"Laptop")</f>
        <v>Laptop</v>
      </c>
      <c r="H987" s="16" t="str">
        <f>IFERROR(__xludf.DUMMYFUNCTION("""COMPUTED_VALUE"""),"Gaming")</f>
        <v>Gaming</v>
      </c>
      <c r="I987" s="16" t="str">
        <f>IFERROR(__xludf.DUMMYFUNCTION("""COMPUTED_VALUE"""),"16GB")</f>
        <v>16GB</v>
      </c>
      <c r="J987" s="18">
        <v>2469.75</v>
      </c>
      <c r="K987" s="16">
        <v>3.0</v>
      </c>
      <c r="L987" s="18">
        <v>7409.25</v>
      </c>
      <c r="M987" s="16" t="s">
        <v>1332</v>
      </c>
      <c r="N987" s="16" t="s">
        <v>1333</v>
      </c>
      <c r="O987" s="16" t="s">
        <v>1334</v>
      </c>
    </row>
    <row r="988" ht="15.75" customHeight="1">
      <c r="A988" s="23">
        <v>45575.0</v>
      </c>
      <c r="B988" s="16" t="s">
        <v>75</v>
      </c>
      <c r="C988" s="16" t="str">
        <f t="shared" si="1"/>
        <v>Cali</v>
      </c>
      <c r="D988" s="16" t="str">
        <f t="shared" si="2"/>
        <v>Cali</v>
      </c>
      <c r="E988" s="16" t="str">
        <f t="shared" si="3"/>
        <v>Cali</v>
      </c>
      <c r="F988" s="16" t="s">
        <v>31</v>
      </c>
      <c r="G988" s="17" t="str">
        <f>IFERROR(__xludf.DUMMYFUNCTION("SPLIT(F988:F1987,""-"") "),"Teléfono")</f>
        <v>Teléfono</v>
      </c>
      <c r="H988" s="16" t="str">
        <f>IFERROR(__xludf.DUMMYFUNCTION("""COMPUTED_VALUE"""),"Gama alta")</f>
        <v>Gama alta</v>
      </c>
      <c r="I988" s="16" t="str">
        <f>IFERROR(__xludf.DUMMYFUNCTION("""COMPUTED_VALUE"""),"32GB")</f>
        <v>32GB</v>
      </c>
      <c r="J988" s="18">
        <v>1420.28</v>
      </c>
      <c r="K988" s="16">
        <v>4.0</v>
      </c>
      <c r="L988" s="18">
        <v>5681.12</v>
      </c>
      <c r="M988" s="16" t="s">
        <v>101</v>
      </c>
      <c r="N988" s="16" t="s">
        <v>102</v>
      </c>
      <c r="O988" s="16" t="s">
        <v>103</v>
      </c>
    </row>
    <row r="989" ht="15.75" customHeight="1">
      <c r="A989" s="19">
        <v>45640.0</v>
      </c>
      <c r="B989" s="16" t="s">
        <v>2359</v>
      </c>
      <c r="C989" s="16" t="str">
        <f t="shared" si="1"/>
        <v>Ciudad De M√©Xico</v>
      </c>
      <c r="D989" s="16" t="str">
        <f t="shared" si="2"/>
        <v>Ciudad De M√©Xico</v>
      </c>
      <c r="E989" s="16" t="str">
        <f t="shared" si="3"/>
        <v>Ciudad De MéXico</v>
      </c>
      <c r="F989" s="16" t="s">
        <v>233</v>
      </c>
      <c r="G989" s="17" t="str">
        <f>IFERROR(__xludf.DUMMYFUNCTION("SPLIT(F989:F1988,""-"") "),"Tablet")</f>
        <v>Tablet</v>
      </c>
      <c r="H989" s="16" t="str">
        <f>IFERROR(__xludf.DUMMYFUNCTION("""COMPUTED_VALUE"""),"Mini")</f>
        <v>Mini</v>
      </c>
      <c r="I989" s="16" t="str">
        <f>IFERROR(__xludf.DUMMYFUNCTION("""COMPUTED_VALUE"""),"16GB")</f>
        <v>16GB</v>
      </c>
      <c r="J989" s="18">
        <v>1939.56</v>
      </c>
      <c r="K989" s="16">
        <v>5.0</v>
      </c>
      <c r="L989" s="18">
        <v>9697.8</v>
      </c>
      <c r="M989" s="16" t="s">
        <v>1849</v>
      </c>
      <c r="N989" s="16" t="s">
        <v>1850</v>
      </c>
      <c r="O989" s="16" t="s">
        <v>1851</v>
      </c>
    </row>
    <row r="990" ht="15.75" customHeight="1">
      <c r="A990" s="19">
        <v>45621.0</v>
      </c>
      <c r="B990" s="16" t="s">
        <v>2359</v>
      </c>
      <c r="C990" s="16" t="str">
        <f t="shared" si="1"/>
        <v>Ciudad De M√©Xico</v>
      </c>
      <c r="D990" s="16" t="str">
        <f t="shared" si="2"/>
        <v>Ciudad De M√©Xico</v>
      </c>
      <c r="E990" s="16" t="str">
        <f t="shared" si="3"/>
        <v>Ciudad De MéXico</v>
      </c>
      <c r="F990" s="16" t="s">
        <v>255</v>
      </c>
      <c r="G990" s="17" t="str">
        <f>IFERROR(__xludf.DUMMYFUNCTION("SPLIT(F990:F1989,""-"") "),"Auriculares")</f>
        <v>Auriculares</v>
      </c>
      <c r="H990" s="16" t="str">
        <f>IFERROR(__xludf.DUMMYFUNCTION("""COMPUTED_VALUE"""),"Bluetooth")</f>
        <v>Bluetooth</v>
      </c>
      <c r="I990" s="16" t="str">
        <f>IFERROR(__xludf.DUMMYFUNCTION("""COMPUTED_VALUE"""),"8GB")</f>
        <v>8GB</v>
      </c>
      <c r="J990" s="18">
        <v>1438.41</v>
      </c>
      <c r="K990" s="16">
        <v>4.0</v>
      </c>
      <c r="L990" s="18">
        <v>5753.64</v>
      </c>
      <c r="M990" s="16" t="s">
        <v>1502</v>
      </c>
      <c r="N990" s="16" t="s">
        <v>1503</v>
      </c>
      <c r="O990" s="16" t="s">
        <v>1504</v>
      </c>
    </row>
    <row r="991" ht="15.75" customHeight="1">
      <c r="A991" s="19">
        <v>45641.0</v>
      </c>
      <c r="B991" s="16" t="s">
        <v>2359</v>
      </c>
      <c r="C991" s="16" t="str">
        <f t="shared" si="1"/>
        <v>Ciudad De M√©Xico</v>
      </c>
      <c r="D991" s="16" t="str">
        <f t="shared" si="2"/>
        <v>Ciudad De M√©Xico</v>
      </c>
      <c r="E991" s="16" t="str">
        <f t="shared" si="3"/>
        <v>Ciudad De MéXico</v>
      </c>
      <c r="F991" s="16" t="s">
        <v>31</v>
      </c>
      <c r="G991" s="17" t="str">
        <f>IFERROR(__xludf.DUMMYFUNCTION("SPLIT(F991:F1990,""-"") "),"Teléfono")</f>
        <v>Teléfono</v>
      </c>
      <c r="H991" s="16" t="str">
        <f>IFERROR(__xludf.DUMMYFUNCTION("""COMPUTED_VALUE"""),"Gama alta")</f>
        <v>Gama alta</v>
      </c>
      <c r="I991" s="16" t="str">
        <f>IFERROR(__xludf.DUMMYFUNCTION("""COMPUTED_VALUE"""),"32GB")</f>
        <v>32GB</v>
      </c>
      <c r="J991" s="18">
        <v>1423.68</v>
      </c>
      <c r="K991" s="16">
        <v>1.0</v>
      </c>
      <c r="L991" s="18">
        <v>1423.68</v>
      </c>
      <c r="M991" s="16" t="s">
        <v>1873</v>
      </c>
      <c r="N991" s="16" t="s">
        <v>1874</v>
      </c>
      <c r="O991" s="16" t="s">
        <v>1875</v>
      </c>
    </row>
    <row r="992" ht="15.75" customHeight="1">
      <c r="A992" s="23">
        <v>45485.0</v>
      </c>
      <c r="B992" s="16" t="s">
        <v>14</v>
      </c>
      <c r="C992" s="16" t="str">
        <f t="shared" si="1"/>
        <v>Bogotá</v>
      </c>
      <c r="D992" s="16" t="str">
        <f t="shared" si="2"/>
        <v>Bogotá</v>
      </c>
      <c r="E992" s="16" t="str">
        <f t="shared" si="3"/>
        <v>Bogotá</v>
      </c>
      <c r="F992" s="16" t="s">
        <v>186</v>
      </c>
      <c r="G992" s="17" t="str">
        <f>IFERROR(__xludf.DUMMYFUNCTION("SPLIT(F992:F1991,""-"") "),"Auriculares")</f>
        <v>Auriculares</v>
      </c>
      <c r="H992" s="16" t="str">
        <f>IFERROR(__xludf.DUMMYFUNCTION("""COMPUTED_VALUE"""),"Cancelaci√≥n de ruido")</f>
        <v>Cancelaci√≥n de ruido</v>
      </c>
      <c r="I992" s="16" t="str">
        <f>IFERROR(__xludf.DUMMYFUNCTION("""COMPUTED_VALUE"""),"16GB")</f>
        <v>16GB</v>
      </c>
      <c r="J992" s="18">
        <v>419.85</v>
      </c>
      <c r="K992" s="16">
        <v>1.0</v>
      </c>
      <c r="L992" s="18">
        <v>419.85</v>
      </c>
      <c r="M992" s="16" t="s">
        <v>3117</v>
      </c>
      <c r="N992" s="16" t="s">
        <v>3118</v>
      </c>
      <c r="O992" s="16" t="s">
        <v>3119</v>
      </c>
    </row>
    <row r="993" ht="15.75" customHeight="1">
      <c r="A993" s="19">
        <v>45613.0</v>
      </c>
      <c r="B993" s="16" t="s">
        <v>2359</v>
      </c>
      <c r="C993" s="16" t="str">
        <f t="shared" si="1"/>
        <v>Ciudad De M√©Xico</v>
      </c>
      <c r="D993" s="16" t="str">
        <f t="shared" si="2"/>
        <v>Ciudad De M√©Xico</v>
      </c>
      <c r="E993" s="16" t="str">
        <f t="shared" si="3"/>
        <v>Ciudad De MéXico</v>
      </c>
      <c r="F993" s="16" t="s">
        <v>399</v>
      </c>
      <c r="G993" s="17" t="str">
        <f>IFERROR(__xludf.DUMMYFUNCTION("SPLIT(F993:F1992,""-"") "),"Laptop")</f>
        <v>Laptop</v>
      </c>
      <c r="H993" s="16" t="str">
        <f>IFERROR(__xludf.DUMMYFUNCTION("""COMPUTED_VALUE"""),"Gaming")</f>
        <v>Gaming</v>
      </c>
      <c r="I993" s="16" t="str">
        <f>IFERROR(__xludf.DUMMYFUNCTION("""COMPUTED_VALUE"""),"4GB")</f>
        <v>4GB</v>
      </c>
      <c r="J993" s="18">
        <v>877.11</v>
      </c>
      <c r="K993" s="16">
        <v>1.0</v>
      </c>
      <c r="L993" s="18">
        <v>877.11</v>
      </c>
      <c r="M993" s="16" t="s">
        <v>1227</v>
      </c>
      <c r="N993" s="16" t="s">
        <v>1228</v>
      </c>
      <c r="O993" s="16" t="s">
        <v>1229</v>
      </c>
    </row>
    <row r="994" ht="15.75" customHeight="1">
      <c r="A994" s="19" t="s">
        <v>3120</v>
      </c>
      <c r="B994" s="16" t="s">
        <v>14</v>
      </c>
      <c r="C994" s="16" t="str">
        <f t="shared" si="1"/>
        <v>Bogotá</v>
      </c>
      <c r="D994" s="16" t="str">
        <f t="shared" si="2"/>
        <v>Bogotá</v>
      </c>
      <c r="E994" s="16" t="str">
        <f t="shared" si="3"/>
        <v>Bogotá</v>
      </c>
      <c r="F994" s="16" t="s">
        <v>50</v>
      </c>
      <c r="G994" s="17" t="str">
        <f>IFERROR(__xludf.DUMMYFUNCTION("SPLIT(F994:F1993,""-"") "),"Tablet")</f>
        <v>Tablet</v>
      </c>
      <c r="H994" s="16" t="str">
        <f>IFERROR(__xludf.DUMMYFUNCTION("""COMPUTED_VALUE"""),"Estándar")</f>
        <v>Estándar</v>
      </c>
      <c r="I994" s="16" t="str">
        <f>IFERROR(__xludf.DUMMYFUNCTION("""COMPUTED_VALUE"""),"32GB")</f>
        <v>32GB</v>
      </c>
      <c r="J994" s="18">
        <v>2260.99</v>
      </c>
      <c r="K994" s="16">
        <v>2.0</v>
      </c>
      <c r="L994" s="18">
        <v>4521.98</v>
      </c>
      <c r="M994" s="16" t="s">
        <v>3121</v>
      </c>
      <c r="N994" s="16" t="s">
        <v>3122</v>
      </c>
      <c r="O994" s="16" t="s">
        <v>3123</v>
      </c>
    </row>
    <row r="995" ht="15.75" customHeight="1">
      <c r="A995" s="19">
        <v>45596.0</v>
      </c>
      <c r="B995" s="16" t="s">
        <v>35</v>
      </c>
      <c r="C995" s="16" t="str">
        <f t="shared" si="1"/>
        <v>Medellín</v>
      </c>
      <c r="D995" s="16" t="str">
        <f t="shared" si="2"/>
        <v>Medellín</v>
      </c>
      <c r="E995" s="16" t="str">
        <f t="shared" si="3"/>
        <v>Medellín</v>
      </c>
      <c r="F995" s="16" t="s">
        <v>139</v>
      </c>
      <c r="G995" s="17" t="str">
        <f>IFERROR(__xludf.DUMMYFUNCTION("SPLIT(F995:F1994,""-"") "),"Auriculares")</f>
        <v>Auriculares</v>
      </c>
      <c r="H995" s="16" t="str">
        <f>IFERROR(__xludf.DUMMYFUNCTION("""COMPUTED_VALUE"""),"Con cable")</f>
        <v>Con cable</v>
      </c>
      <c r="I995" s="16" t="str">
        <f>IFERROR(__xludf.DUMMYFUNCTION("""COMPUTED_VALUE"""),"16GB")</f>
        <v>16GB</v>
      </c>
      <c r="J995" s="18">
        <v>273.01</v>
      </c>
      <c r="K995" s="16">
        <v>1.0</v>
      </c>
      <c r="L995" s="18">
        <v>273.01</v>
      </c>
      <c r="M995" s="16" t="s">
        <v>796</v>
      </c>
      <c r="N995" s="16" t="s">
        <v>797</v>
      </c>
      <c r="O995" s="16" t="s">
        <v>798</v>
      </c>
    </row>
    <row r="996" ht="15.75" customHeight="1">
      <c r="A996" s="23">
        <v>45334.0</v>
      </c>
      <c r="B996" s="16" t="s">
        <v>75</v>
      </c>
      <c r="C996" s="16" t="str">
        <f t="shared" si="1"/>
        <v>Cali</v>
      </c>
      <c r="D996" s="16" t="str">
        <f t="shared" si="2"/>
        <v>Cali</v>
      </c>
      <c r="E996" s="16" t="str">
        <f t="shared" si="3"/>
        <v>Cali</v>
      </c>
      <c r="F996" s="16" t="s">
        <v>389</v>
      </c>
      <c r="G996" s="17" t="str">
        <f>IFERROR(__xludf.DUMMYFUNCTION("SPLIT(F996:F1995,""-"") "),"Auriculares")</f>
        <v>Auriculares</v>
      </c>
      <c r="H996" s="16" t="str">
        <f>IFERROR(__xludf.DUMMYFUNCTION("""COMPUTED_VALUE"""),"Cancelación de ruido")</f>
        <v>Cancelación de ruido</v>
      </c>
      <c r="I996" s="16" t="str">
        <f>IFERROR(__xludf.DUMMYFUNCTION("""COMPUTED_VALUE"""),"4GB")</f>
        <v>4GB</v>
      </c>
      <c r="J996" s="18">
        <v>1919.62</v>
      </c>
      <c r="K996" s="16">
        <v>2.0</v>
      </c>
      <c r="L996" s="18">
        <v>3839.24</v>
      </c>
      <c r="M996" s="16" t="s">
        <v>3124</v>
      </c>
      <c r="N996" s="16" t="s">
        <v>3125</v>
      </c>
      <c r="O996" s="16" t="s">
        <v>3126</v>
      </c>
    </row>
    <row r="997" ht="15.75" customHeight="1">
      <c r="A997" s="19">
        <v>45646.0</v>
      </c>
      <c r="B997" s="16" t="s">
        <v>14</v>
      </c>
      <c r="C997" s="16" t="str">
        <f t="shared" si="1"/>
        <v>Bogotá</v>
      </c>
      <c r="D997" s="16" t="str">
        <f t="shared" si="2"/>
        <v>Bogotá</v>
      </c>
      <c r="E997" s="16" t="str">
        <f t="shared" si="3"/>
        <v>Bogotá</v>
      </c>
      <c r="F997" s="16" t="s">
        <v>373</v>
      </c>
      <c r="G997" s="17" t="str">
        <f>IFERROR(__xludf.DUMMYFUNCTION("SPLIT(F997:F1996,""-"") "),"Teléfono")</f>
        <v>Teléfono</v>
      </c>
      <c r="H997" s="16" t="str">
        <f>IFERROR(__xludf.DUMMYFUNCTION("""COMPUTED_VALUE"""),"Gama media")</f>
        <v>Gama media</v>
      </c>
      <c r="I997" s="16" t="str">
        <f>IFERROR(__xludf.DUMMYFUNCTION("""COMPUTED_VALUE"""),"16GB")</f>
        <v>16GB</v>
      </c>
      <c r="J997" s="18">
        <v>2077.18</v>
      </c>
      <c r="K997" s="16">
        <v>4.0</v>
      </c>
      <c r="L997" s="18">
        <v>8308.72</v>
      </c>
      <c r="M997" s="16" t="s">
        <v>2032</v>
      </c>
      <c r="N997" s="16" t="s">
        <v>2033</v>
      </c>
      <c r="O997" s="16" t="s">
        <v>2034</v>
      </c>
    </row>
    <row r="998" ht="15.75" customHeight="1">
      <c r="A998" s="19">
        <v>45613.0</v>
      </c>
      <c r="B998" s="16" t="s">
        <v>2359</v>
      </c>
      <c r="C998" s="16" t="str">
        <f t="shared" si="1"/>
        <v>Ciudad De M√©Xico</v>
      </c>
      <c r="D998" s="16" t="str">
        <f t="shared" si="2"/>
        <v>Ciudad De M√©Xico</v>
      </c>
      <c r="E998" s="16" t="str">
        <f t="shared" si="3"/>
        <v>Ciudad De MéXico</v>
      </c>
      <c r="F998" s="16" t="s">
        <v>233</v>
      </c>
      <c r="G998" s="17" t="str">
        <f>IFERROR(__xludf.DUMMYFUNCTION("SPLIT(F998:F1997,""-"") "),"Tablet")</f>
        <v>Tablet</v>
      </c>
      <c r="H998" s="16" t="str">
        <f>IFERROR(__xludf.DUMMYFUNCTION("""COMPUTED_VALUE"""),"Mini")</f>
        <v>Mini</v>
      </c>
      <c r="I998" s="16" t="str">
        <f>IFERROR(__xludf.DUMMYFUNCTION("""COMPUTED_VALUE"""),"16GB")</f>
        <v>16GB</v>
      </c>
      <c r="J998" s="18">
        <v>304.68</v>
      </c>
      <c r="K998" s="16">
        <v>5.0</v>
      </c>
      <c r="L998" s="18">
        <v>1523.4</v>
      </c>
      <c r="M998" s="16" t="s">
        <v>1230</v>
      </c>
      <c r="N998" s="16" t="s">
        <v>1231</v>
      </c>
      <c r="O998" s="16" t="s">
        <v>1232</v>
      </c>
    </row>
    <row r="999" ht="15.75" customHeight="1">
      <c r="A999" s="19">
        <v>45579.0</v>
      </c>
      <c r="B999" s="16" t="s">
        <v>14</v>
      </c>
      <c r="C999" s="16" t="str">
        <f t="shared" si="1"/>
        <v>Bogotá</v>
      </c>
      <c r="D999" s="16" t="str">
        <f t="shared" si="2"/>
        <v>Bogotá</v>
      </c>
      <c r="E999" s="16" t="str">
        <f t="shared" si="3"/>
        <v>Bogotá</v>
      </c>
      <c r="F999" s="16" t="s">
        <v>125</v>
      </c>
      <c r="G999" s="17" t="str">
        <f>IFERROR(__xludf.DUMMYFUNCTION("SPLIT(F999:F1998,""-"") "),"Tel√©fono")</f>
        <v>Tel√©fono</v>
      </c>
      <c r="H999" s="16" t="str">
        <f>IFERROR(__xludf.DUMMYFUNCTION("""COMPUTED_VALUE"""),"Gama media")</f>
        <v>Gama media</v>
      </c>
      <c r="I999" s="16" t="str">
        <f>IFERROR(__xludf.DUMMYFUNCTION("""COMPUTED_VALUE"""),"8GB")</f>
        <v>8GB</v>
      </c>
      <c r="J999" s="18">
        <v>1838.04</v>
      </c>
      <c r="K999" s="16">
        <v>4.0</v>
      </c>
      <c r="L999" s="18">
        <v>7352.16</v>
      </c>
      <c r="M999" s="16" t="s">
        <v>252</v>
      </c>
      <c r="N999" s="16" t="s">
        <v>253</v>
      </c>
      <c r="O999" s="16" t="s">
        <v>254</v>
      </c>
    </row>
    <row r="1000" ht="15.75" customHeight="1">
      <c r="A1000" s="19">
        <v>45617.0</v>
      </c>
      <c r="B1000" s="16" t="s">
        <v>2359</v>
      </c>
      <c r="C1000" s="16" t="str">
        <f t="shared" si="1"/>
        <v>Ciudad De M√©Xico</v>
      </c>
      <c r="D1000" s="16" t="str">
        <f t="shared" si="2"/>
        <v>Ciudad De M√©Xico</v>
      </c>
      <c r="E1000" s="16" t="str">
        <f t="shared" si="3"/>
        <v>Ciudad De MéXico</v>
      </c>
      <c r="F1000" s="16" t="s">
        <v>139</v>
      </c>
      <c r="G1000" s="17" t="str">
        <f>IFERROR(__xludf.DUMMYFUNCTION("SPLIT(F1000:F1999,""-"") "),"Auriculares")</f>
        <v>Auriculares</v>
      </c>
      <c r="H1000" s="16" t="str">
        <f>IFERROR(__xludf.DUMMYFUNCTION("""COMPUTED_VALUE"""),"Con cable")</f>
        <v>Con cable</v>
      </c>
      <c r="I1000" s="16" t="str">
        <f>IFERROR(__xludf.DUMMYFUNCTION("""COMPUTED_VALUE"""),"16GB")</f>
        <v>16GB</v>
      </c>
      <c r="J1000" s="18">
        <v>536.87</v>
      </c>
      <c r="K1000" s="16">
        <v>1.0</v>
      </c>
      <c r="L1000" s="18">
        <v>536.87</v>
      </c>
      <c r="M1000" s="16" t="s">
        <v>1368</v>
      </c>
      <c r="N1000" s="16" t="s">
        <v>1369</v>
      </c>
      <c r="O1000" s="16" t="s">
        <v>1370</v>
      </c>
    </row>
    <row r="1001" ht="15.75" customHeight="1">
      <c r="A1001" s="19">
        <v>45610.0</v>
      </c>
      <c r="B1001" s="16" t="s">
        <v>75</v>
      </c>
      <c r="C1001" s="16" t="str">
        <f t="shared" si="1"/>
        <v>Cali</v>
      </c>
      <c r="D1001" s="16" t="str">
        <f t="shared" si="2"/>
        <v>Cali</v>
      </c>
      <c r="E1001" s="16" t="str">
        <f t="shared" si="3"/>
        <v>Cali</v>
      </c>
      <c r="F1001" s="16" t="s">
        <v>182</v>
      </c>
      <c r="G1001" s="17" t="str">
        <f>IFERROR(__xludf.DUMMYFUNCTION("SPLIT(F1001:F2000,""-"") "),"Tablet")</f>
        <v>Tablet</v>
      </c>
      <c r="H1001" s="16" t="str">
        <f>IFERROR(__xludf.DUMMYFUNCTION("""COMPUTED_VALUE"""),"Mini")</f>
        <v>Mini</v>
      </c>
      <c r="I1001" s="16" t="str">
        <f>IFERROR(__xludf.DUMMYFUNCTION("""COMPUTED_VALUE"""),"4GB")</f>
        <v>4GB</v>
      </c>
      <c r="J1001" s="18">
        <v>1876.88</v>
      </c>
      <c r="K1001" s="16">
        <v>4.0</v>
      </c>
      <c r="L1001" s="18">
        <v>7507.52</v>
      </c>
      <c r="M1001" s="16" t="s">
        <v>1107</v>
      </c>
      <c r="N1001" s="16" t="s">
        <v>1108</v>
      </c>
      <c r="O1001" s="16" t="s">
        <v>1109</v>
      </c>
    </row>
  </sheetData>
  <autoFilter ref="$G$1:$G$10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6.56"/>
  </cols>
  <sheetData>
    <row r="1" ht="27.0" customHeight="1">
      <c r="A1" s="26" t="s">
        <v>3127</v>
      </c>
      <c r="B1" s="26" t="s">
        <v>3128</v>
      </c>
    </row>
    <row r="2" ht="27.0" customHeight="1">
      <c r="A2" s="27" t="s">
        <v>3129</v>
      </c>
      <c r="B2" s="28">
        <f>SUM(Datos_Limpios!L2:L1001) </f>
        <v>3905202.55</v>
      </c>
    </row>
    <row r="3" ht="27.0" customHeight="1">
      <c r="A3" s="27" t="s">
        <v>3130</v>
      </c>
      <c r="B3" s="28">
        <f>AVERAGE(Datos_Limpios!L2:L1001)</f>
        <v>3905.20255</v>
      </c>
    </row>
    <row r="4" ht="27.0" customHeight="1">
      <c r="A4" s="27" t="s">
        <v>3131</v>
      </c>
      <c r="B4" s="27">
        <f>COUNT(Datos_Limpios!K2:K1001)</f>
        <v>1000</v>
      </c>
    </row>
    <row r="5" ht="27.0" customHeight="1">
      <c r="A5" s="27" t="s">
        <v>3132</v>
      </c>
      <c r="B5" s="29" t="s">
        <v>3133</v>
      </c>
    </row>
    <row r="6" ht="27.0" customHeight="1">
      <c r="A6" s="27" t="s">
        <v>3134</v>
      </c>
      <c r="B6" s="29" t="s">
        <v>3135</v>
      </c>
    </row>
    <row r="7" ht="27.0" customHeight="1">
      <c r="A7" s="27" t="s">
        <v>3136</v>
      </c>
      <c r="B7" s="29" t="s">
        <v>3137</v>
      </c>
    </row>
    <row r="8" ht="27.0" customHeight="1">
      <c r="A8" s="27" t="s">
        <v>3138</v>
      </c>
      <c r="B8" s="29" t="s">
        <v>3139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116.11"/>
  </cols>
  <sheetData>
    <row r="1" ht="21.75" customHeight="1">
      <c r="A1" s="30" t="s">
        <v>3140</v>
      </c>
      <c r="B1" s="31"/>
    </row>
    <row r="2" ht="21.75" customHeight="1">
      <c r="A2" s="26" t="s">
        <v>3141</v>
      </c>
      <c r="B2" s="26" t="s">
        <v>3128</v>
      </c>
    </row>
    <row r="3" ht="21.75" customHeight="1">
      <c r="A3" s="26" t="s">
        <v>3142</v>
      </c>
      <c r="B3" s="27"/>
    </row>
    <row r="4" ht="21.75" customHeight="1">
      <c r="A4" s="27" t="s">
        <v>3143</v>
      </c>
      <c r="B4" s="29" t="s">
        <v>3144</v>
      </c>
    </row>
    <row r="5" ht="21.75" customHeight="1">
      <c r="A5" s="27" t="s">
        <v>3145</v>
      </c>
      <c r="B5" s="29" t="s">
        <v>3146</v>
      </c>
    </row>
    <row r="6" ht="21.75" customHeight="1">
      <c r="A6" s="26" t="s">
        <v>3147</v>
      </c>
      <c r="B6" s="27"/>
    </row>
    <row r="7" ht="21.75" customHeight="1">
      <c r="A7" s="27" t="s">
        <v>3148</v>
      </c>
      <c r="B7" s="29" t="s">
        <v>3149</v>
      </c>
    </row>
    <row r="8" ht="21.75" customHeight="1">
      <c r="A8" s="27" t="s">
        <v>3150</v>
      </c>
      <c r="B8" s="29" t="s">
        <v>3151</v>
      </c>
    </row>
    <row r="9" ht="21.75" customHeight="1">
      <c r="A9" s="27" t="s">
        <v>3138</v>
      </c>
      <c r="B9" s="29" t="s">
        <v>3139</v>
      </c>
    </row>
    <row r="10">
      <c r="A10" s="27" t="s">
        <v>3152</v>
      </c>
      <c r="B10" s="29" t="s">
        <v>3153</v>
      </c>
    </row>
    <row r="11" ht="21.75" customHeight="1">
      <c r="A11" s="26" t="s">
        <v>3154</v>
      </c>
      <c r="B11" s="27"/>
    </row>
    <row r="12" ht="21.75" customHeight="1">
      <c r="A12" s="27" t="s">
        <v>3155</v>
      </c>
      <c r="B12" s="29" t="s">
        <v>3156</v>
      </c>
    </row>
    <row r="13" ht="21.75" customHeight="1">
      <c r="A13" s="26" t="s">
        <v>3157</v>
      </c>
      <c r="B13" s="27"/>
    </row>
    <row r="14" ht="21.75" customHeight="1">
      <c r="A14" s="27" t="s">
        <v>3158</v>
      </c>
      <c r="B14" s="29" t="s">
        <v>3159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